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\Downloads\Especializacion\10. Proyecto2\"/>
    </mc:Choice>
  </mc:AlternateContent>
  <xr:revisionPtr revIDLastSave="0" documentId="13_ncr:1_{CC962E6C-61F5-4AA0-B831-45517E962964}" xr6:coauthVersionLast="47" xr6:coauthVersionMax="47" xr10:uidLastSave="{00000000-0000-0000-0000-000000000000}"/>
  <bookViews>
    <workbookView xWindow="-120" yWindow="-120" windowWidth="29040" windowHeight="15720" firstSheet="3" activeTab="5" xr2:uid="{17E2829D-2BC2-43D5-8907-D154CDB01A16}"/>
  </bookViews>
  <sheets>
    <sheet name="LOCALIDADES" sheetId="1" r:id="rId1"/>
    <sheet name="TIPO_INCIDENTE" sheetId="2" r:id="rId2"/>
    <sheet name="HospitalesXSubredes" sheetId="3" r:id="rId3"/>
    <sheet name="CentroGravedad1" sheetId="4" r:id="rId4"/>
    <sheet name="CentroGravedad2" sheetId="5" r:id="rId5"/>
    <sheet name="UbicacionReal" sheetId="6" r:id="rId6"/>
  </sheets>
  <externalReferences>
    <externalReference r:id="rId7"/>
  </externalReferences>
  <definedNames>
    <definedName name="_xlnm._FilterDatabase" localSheetId="3" hidden="1">CentroGravedad1!$B$2:$N$22</definedName>
    <definedName name="_xlnm._FilterDatabase" localSheetId="4" hidden="1">CentroGravedad2!$B$1:$O$82</definedName>
    <definedName name="_xlnm._FilterDatabase" localSheetId="2" hidden="1">HospitalesXSubredes!$A$2:$M$102</definedName>
    <definedName name="_xlnm._FilterDatabase" localSheetId="5" hidden="1">UbicacionReal!$A$1:$P$91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5" l="1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3" i="5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3" i="6"/>
  <c r="AA94" i="5"/>
  <c r="AA95" i="5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3" i="6"/>
  <c r="O61" i="6"/>
  <c r="N61" i="6"/>
  <c r="O60" i="6"/>
  <c r="N60" i="6"/>
  <c r="O59" i="6"/>
  <c r="N59" i="6"/>
  <c r="O58" i="6"/>
  <c r="N58" i="6"/>
  <c r="O57" i="6"/>
  <c r="N57" i="6"/>
  <c r="O56" i="6"/>
  <c r="N56" i="6"/>
  <c r="O55" i="6"/>
  <c r="N55" i="6"/>
  <c r="O54" i="6"/>
  <c r="N54" i="6"/>
  <c r="O53" i="6"/>
  <c r="N53" i="6"/>
  <c r="O52" i="6"/>
  <c r="N52" i="6"/>
  <c r="O51" i="6"/>
  <c r="N51" i="6"/>
  <c r="O37" i="6"/>
  <c r="N37" i="6"/>
  <c r="O36" i="6"/>
  <c r="N36" i="6"/>
  <c r="O35" i="6"/>
  <c r="N35" i="6"/>
  <c r="O91" i="6"/>
  <c r="N91" i="6"/>
  <c r="O90" i="6"/>
  <c r="N90" i="6"/>
  <c r="O89" i="6"/>
  <c r="N89" i="6"/>
  <c r="O88" i="6"/>
  <c r="N88" i="6"/>
  <c r="O87" i="6"/>
  <c r="N87" i="6"/>
  <c r="O86" i="6"/>
  <c r="N86" i="6"/>
  <c r="O85" i="6"/>
  <c r="N85" i="6"/>
  <c r="O84" i="6"/>
  <c r="N84" i="6"/>
  <c r="O83" i="6"/>
  <c r="N83" i="6"/>
  <c r="O82" i="6"/>
  <c r="N82" i="6"/>
  <c r="O81" i="6"/>
  <c r="N81" i="6"/>
  <c r="O80" i="6"/>
  <c r="N80" i="6"/>
  <c r="O79" i="6"/>
  <c r="N79" i="6"/>
  <c r="O78" i="6"/>
  <c r="N78" i="6"/>
  <c r="O77" i="6"/>
  <c r="N77" i="6"/>
  <c r="O76" i="6"/>
  <c r="N76" i="6"/>
  <c r="O75" i="6"/>
  <c r="N75" i="6"/>
  <c r="O74" i="6"/>
  <c r="N74" i="6"/>
  <c r="O73" i="6"/>
  <c r="N73" i="6"/>
  <c r="O72" i="6"/>
  <c r="N72" i="6"/>
  <c r="O71" i="6"/>
  <c r="N71" i="6"/>
  <c r="O70" i="6"/>
  <c r="N70" i="6"/>
  <c r="O69" i="6"/>
  <c r="N69" i="6"/>
  <c r="O68" i="6"/>
  <c r="N68" i="6"/>
  <c r="O67" i="6"/>
  <c r="N67" i="6"/>
  <c r="O66" i="6"/>
  <c r="N66" i="6"/>
  <c r="O65" i="6"/>
  <c r="N65" i="6"/>
  <c r="O64" i="6"/>
  <c r="N64" i="6"/>
  <c r="O63" i="6"/>
  <c r="N63" i="6"/>
  <c r="O48" i="6"/>
  <c r="N48" i="6"/>
  <c r="O62" i="6"/>
  <c r="N62" i="6"/>
  <c r="N49" i="6"/>
  <c r="O49" i="6"/>
  <c r="N50" i="6"/>
  <c r="O50" i="6"/>
  <c r="O47" i="6"/>
  <c r="N47" i="6"/>
  <c r="O46" i="6"/>
  <c r="N46" i="6"/>
  <c r="O45" i="6"/>
  <c r="N45" i="6"/>
  <c r="O44" i="6"/>
  <c r="N44" i="6"/>
  <c r="O43" i="6"/>
  <c r="N43" i="6"/>
  <c r="O42" i="6"/>
  <c r="N42" i="6"/>
  <c r="O41" i="6"/>
  <c r="N41" i="6"/>
  <c r="O40" i="6"/>
  <c r="N40" i="6"/>
  <c r="O39" i="6"/>
  <c r="N39" i="6"/>
  <c r="N29" i="6"/>
  <c r="O29" i="6"/>
  <c r="N30" i="6"/>
  <c r="O30" i="6"/>
  <c r="N31" i="6"/>
  <c r="O31" i="6"/>
  <c r="N32" i="6"/>
  <c r="O32" i="6"/>
  <c r="N33" i="6"/>
  <c r="O33" i="6"/>
  <c r="N34" i="6"/>
  <c r="O34" i="6"/>
  <c r="N38" i="6"/>
  <c r="O38" i="6"/>
  <c r="O28" i="6"/>
  <c r="N28" i="6"/>
  <c r="O27" i="6"/>
  <c r="N27" i="6"/>
  <c r="O26" i="6"/>
  <c r="N26" i="6"/>
  <c r="O25" i="6"/>
  <c r="N25" i="6"/>
  <c r="O24" i="6"/>
  <c r="N24" i="6"/>
  <c r="O23" i="6"/>
  <c r="N23" i="6"/>
  <c r="O22" i="6"/>
  <c r="N22" i="6"/>
  <c r="N4" i="6"/>
  <c r="O4" i="6"/>
  <c r="N5" i="6"/>
  <c r="O5" i="6"/>
  <c r="N6" i="6"/>
  <c r="O6" i="6"/>
  <c r="N7" i="6"/>
  <c r="O7" i="6"/>
  <c r="N8" i="6"/>
  <c r="O8" i="6"/>
  <c r="N9" i="6"/>
  <c r="O9" i="6"/>
  <c r="N10" i="6"/>
  <c r="O10" i="6"/>
  <c r="N11" i="6"/>
  <c r="O11" i="6"/>
  <c r="N12" i="6"/>
  <c r="O12" i="6"/>
  <c r="N13" i="6"/>
  <c r="O13" i="6"/>
  <c r="N14" i="6"/>
  <c r="O14" i="6"/>
  <c r="N15" i="6"/>
  <c r="O15" i="6"/>
  <c r="N16" i="6"/>
  <c r="O16" i="6"/>
  <c r="N17" i="6"/>
  <c r="O17" i="6"/>
  <c r="N18" i="6"/>
  <c r="O18" i="6"/>
  <c r="N19" i="6"/>
  <c r="O19" i="6"/>
  <c r="N20" i="6"/>
  <c r="O20" i="6"/>
  <c r="N21" i="6"/>
  <c r="O21" i="6"/>
  <c r="N3" i="6"/>
  <c r="O3" i="6"/>
  <c r="N21" i="5"/>
  <c r="I133" i="5"/>
  <c r="H133" i="5"/>
  <c r="H134" i="5" s="1"/>
  <c r="G133" i="5"/>
  <c r="G134" i="5" s="1"/>
  <c r="H114" i="5"/>
  <c r="G114" i="5"/>
  <c r="I113" i="5"/>
  <c r="H113" i="5"/>
  <c r="G113" i="5"/>
  <c r="Z35" i="4"/>
  <c r="Z36" i="4"/>
  <c r="Z37" i="4"/>
  <c r="Z38" i="4"/>
  <c r="Z39" i="4"/>
  <c r="Z34" i="4"/>
  <c r="AA96" i="5"/>
  <c r="AA97" i="5"/>
  <c r="AA100" i="5"/>
  <c r="AA101" i="5"/>
  <c r="AA102" i="5"/>
  <c r="AA103" i="5"/>
  <c r="AA104" i="5"/>
  <c r="AA105" i="5"/>
  <c r="AA106" i="5"/>
  <c r="AA107" i="5"/>
  <c r="AA109" i="5"/>
  <c r="AA110" i="5"/>
  <c r="AA111" i="5"/>
  <c r="AA112" i="5"/>
  <c r="AA113" i="5"/>
  <c r="U95" i="5"/>
  <c r="W95" i="5" s="1"/>
  <c r="V95" i="5"/>
  <c r="X95" i="5"/>
  <c r="Y95" i="5" s="1"/>
  <c r="Z95" i="5" s="1"/>
  <c r="U96" i="5"/>
  <c r="W96" i="5" s="1"/>
  <c r="V96" i="5"/>
  <c r="X96" i="5"/>
  <c r="Y96" i="5" s="1"/>
  <c r="U97" i="5"/>
  <c r="V97" i="5"/>
  <c r="W97" i="5"/>
  <c r="X97" i="5"/>
  <c r="Y97" i="5" s="1"/>
  <c r="U98" i="5"/>
  <c r="X98" i="5"/>
  <c r="Y98" i="5" s="1"/>
  <c r="U99" i="5"/>
  <c r="V99" i="5"/>
  <c r="X99" i="5"/>
  <c r="Y99" i="5" s="1"/>
  <c r="Z99" i="5" s="1"/>
  <c r="U100" i="5"/>
  <c r="W100" i="5" s="1"/>
  <c r="V100" i="5"/>
  <c r="X100" i="5"/>
  <c r="Y100" i="5" s="1"/>
  <c r="Z100" i="5" s="1"/>
  <c r="U101" i="5"/>
  <c r="V101" i="5"/>
  <c r="W101" i="5"/>
  <c r="X101" i="5"/>
  <c r="Y101" i="5" s="1"/>
  <c r="U102" i="5"/>
  <c r="V102" i="5"/>
  <c r="W102" i="5"/>
  <c r="X102" i="5"/>
  <c r="Y102" i="5"/>
  <c r="Z102" i="5"/>
  <c r="U103" i="5"/>
  <c r="W103" i="5" s="1"/>
  <c r="V103" i="5"/>
  <c r="X103" i="5"/>
  <c r="Y103" i="5"/>
  <c r="Z103" i="5"/>
  <c r="U104" i="5"/>
  <c r="W104" i="5" s="1"/>
  <c r="V104" i="5"/>
  <c r="X104" i="5"/>
  <c r="Y104" i="5" s="1"/>
  <c r="Z104" i="5" s="1"/>
  <c r="U105" i="5"/>
  <c r="V105" i="5"/>
  <c r="W105" i="5"/>
  <c r="X105" i="5"/>
  <c r="Y105" i="5" s="1"/>
  <c r="U106" i="5"/>
  <c r="V106" i="5"/>
  <c r="W106" i="5"/>
  <c r="X106" i="5"/>
  <c r="Y106" i="5"/>
  <c r="Z106" i="5"/>
  <c r="U107" i="5"/>
  <c r="W107" i="5" s="1"/>
  <c r="V107" i="5"/>
  <c r="X107" i="5"/>
  <c r="Y107" i="5"/>
  <c r="Z107" i="5"/>
  <c r="U108" i="5"/>
  <c r="X108" i="5"/>
  <c r="Y108" i="5" s="1"/>
  <c r="Z108" i="5" s="1"/>
  <c r="U109" i="5"/>
  <c r="V109" i="5"/>
  <c r="W109" i="5"/>
  <c r="X109" i="5"/>
  <c r="Y109" i="5" s="1"/>
  <c r="U110" i="5"/>
  <c r="V110" i="5"/>
  <c r="W110" i="5"/>
  <c r="X110" i="5"/>
  <c r="Y110" i="5"/>
  <c r="Z110" i="5"/>
  <c r="U111" i="5"/>
  <c r="W111" i="5" s="1"/>
  <c r="V111" i="5"/>
  <c r="X111" i="5"/>
  <c r="Y111" i="5"/>
  <c r="Z111" i="5"/>
  <c r="U112" i="5"/>
  <c r="W112" i="5" s="1"/>
  <c r="V112" i="5"/>
  <c r="X112" i="5"/>
  <c r="Y112" i="5" s="1"/>
  <c r="Z112" i="5" s="1"/>
  <c r="U113" i="5"/>
  <c r="V113" i="5"/>
  <c r="W113" i="5"/>
  <c r="X113" i="5"/>
  <c r="Y113" i="5" s="1"/>
  <c r="Z94" i="5"/>
  <c r="Y94" i="5"/>
  <c r="X94" i="5"/>
  <c r="W94" i="5"/>
  <c r="V94" i="5"/>
  <c r="U94" i="5"/>
  <c r="Y35" i="4"/>
  <c r="Y36" i="4"/>
  <c r="Y37" i="4"/>
  <c r="Y38" i="4"/>
  <c r="Y39" i="4"/>
  <c r="Y34" i="4"/>
  <c r="X34" i="4"/>
  <c r="X35" i="4"/>
  <c r="X36" i="4"/>
  <c r="X37" i="4"/>
  <c r="X38" i="4"/>
  <c r="X39" i="4"/>
  <c r="W35" i="4"/>
  <c r="W36" i="4"/>
  <c r="W37" i="4"/>
  <c r="W38" i="4"/>
  <c r="W39" i="4"/>
  <c r="W34" i="4"/>
  <c r="V35" i="4"/>
  <c r="V36" i="4"/>
  <c r="V37" i="4"/>
  <c r="V38" i="4"/>
  <c r="V39" i="4"/>
  <c r="V34" i="4"/>
  <c r="U34" i="4"/>
  <c r="U35" i="4"/>
  <c r="U36" i="4"/>
  <c r="U37" i="4"/>
  <c r="U38" i="4"/>
  <c r="U39" i="4"/>
  <c r="T35" i="4"/>
  <c r="T36" i="4"/>
  <c r="T37" i="4"/>
  <c r="T38" i="4"/>
  <c r="T39" i="4"/>
  <c r="T34" i="4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3" i="5"/>
  <c r="M96" i="3"/>
  <c r="M91" i="3"/>
  <c r="M82" i="3"/>
  <c r="M81" i="3"/>
  <c r="M79" i="3"/>
  <c r="M67" i="3"/>
  <c r="M54" i="3"/>
  <c r="M53" i="3"/>
  <c r="M52" i="3"/>
  <c r="M45" i="3"/>
  <c r="M29" i="3"/>
  <c r="M28" i="3"/>
  <c r="M27" i="3"/>
  <c r="M26" i="3"/>
  <c r="M25" i="3"/>
  <c r="M7" i="3"/>
  <c r="M6" i="3"/>
  <c r="M5" i="3"/>
  <c r="M4" i="3"/>
  <c r="M3" i="3"/>
  <c r="E100" i="4"/>
  <c r="D100" i="4"/>
  <c r="G98" i="4"/>
  <c r="G97" i="4"/>
  <c r="E63" i="4"/>
  <c r="H93" i="5"/>
  <c r="G93" i="5"/>
  <c r="G94" i="5" s="1"/>
  <c r="M3" i="5"/>
  <c r="I283" i="5"/>
  <c r="H283" i="5"/>
  <c r="H284" i="5" s="1"/>
  <c r="G283" i="5"/>
  <c r="G284" i="5" s="1"/>
  <c r="H153" i="5"/>
  <c r="I293" i="5"/>
  <c r="H294" i="5" s="1"/>
  <c r="H293" i="5"/>
  <c r="G293" i="5"/>
  <c r="G294" i="5" s="1"/>
  <c r="I123" i="5"/>
  <c r="I273" i="5"/>
  <c r="H273" i="5"/>
  <c r="G273" i="5"/>
  <c r="G274" i="5" s="1"/>
  <c r="I263" i="5"/>
  <c r="H263" i="5"/>
  <c r="G263" i="5"/>
  <c r="I253" i="5"/>
  <c r="H253" i="5"/>
  <c r="G253" i="5"/>
  <c r="I243" i="5"/>
  <c r="H243" i="5"/>
  <c r="G243" i="5"/>
  <c r="G244" i="5" s="1"/>
  <c r="I233" i="5"/>
  <c r="H233" i="5"/>
  <c r="H234" i="5" s="1"/>
  <c r="G233" i="5"/>
  <c r="I223" i="5"/>
  <c r="H223" i="5"/>
  <c r="H224" i="5" s="1"/>
  <c r="J222" i="5" s="1"/>
  <c r="G223" i="5"/>
  <c r="G224" i="5" s="1"/>
  <c r="I213" i="5"/>
  <c r="H213" i="5"/>
  <c r="H214" i="5" s="1"/>
  <c r="G213" i="5"/>
  <c r="G214" i="5" s="1"/>
  <c r="I203" i="5"/>
  <c r="H203" i="5"/>
  <c r="G203" i="5"/>
  <c r="I193" i="5"/>
  <c r="H193" i="5"/>
  <c r="G193" i="5"/>
  <c r="I183" i="5"/>
  <c r="H183" i="5"/>
  <c r="G183" i="5"/>
  <c r="I173" i="5"/>
  <c r="H173" i="5"/>
  <c r="G173" i="5"/>
  <c r="G174" i="5" s="1"/>
  <c r="I163" i="5"/>
  <c r="H163" i="5"/>
  <c r="H164" i="5" s="1"/>
  <c r="G163" i="5"/>
  <c r="G164" i="5" s="1"/>
  <c r="I153" i="5"/>
  <c r="G153" i="5"/>
  <c r="G154" i="5" s="1"/>
  <c r="I143" i="5"/>
  <c r="H143" i="5"/>
  <c r="G143" i="5"/>
  <c r="G144" i="5" s="1"/>
  <c r="H123" i="5"/>
  <c r="G123" i="5"/>
  <c r="I103" i="5"/>
  <c r="H103" i="5"/>
  <c r="G103" i="5"/>
  <c r="I93" i="5"/>
  <c r="F30" i="4"/>
  <c r="E30" i="4"/>
  <c r="E31" i="4" s="1"/>
  <c r="D30" i="4"/>
  <c r="D31" i="4" s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F99" i="4"/>
  <c r="E99" i="4"/>
  <c r="D99" i="4"/>
  <c r="F78" i="4"/>
  <c r="E78" i="4"/>
  <c r="E79" i="4" s="1"/>
  <c r="D78" i="4"/>
  <c r="D79" i="4" s="1"/>
  <c r="F62" i="4"/>
  <c r="E62" i="4"/>
  <c r="D62" i="4"/>
  <c r="D63" i="4" s="1"/>
  <c r="F47" i="4"/>
  <c r="E47" i="4"/>
  <c r="E48" i="4" s="1"/>
  <c r="D47" i="4"/>
  <c r="D48" i="4" s="1"/>
  <c r="V108" i="5" l="1"/>
  <c r="W99" i="5"/>
  <c r="AA99" i="5" s="1"/>
  <c r="V98" i="5"/>
  <c r="W98" i="5" s="1"/>
  <c r="AA98" i="5" s="1"/>
  <c r="Z98" i="5"/>
  <c r="Z96" i="5"/>
  <c r="Z113" i="5"/>
  <c r="Z109" i="5"/>
  <c r="Z105" i="5"/>
  <c r="Z101" i="5"/>
  <c r="Z97" i="5"/>
  <c r="J159" i="5"/>
  <c r="J162" i="5"/>
  <c r="J161" i="5"/>
  <c r="J160" i="5"/>
  <c r="J292" i="5"/>
  <c r="J289" i="5"/>
  <c r="J290" i="5"/>
  <c r="J291" i="5"/>
  <c r="M295" i="5" s="1"/>
  <c r="G194" i="5"/>
  <c r="H244" i="5"/>
  <c r="J242" i="5" s="1"/>
  <c r="H194" i="5"/>
  <c r="J190" i="5" s="1"/>
  <c r="J220" i="5"/>
  <c r="H274" i="5"/>
  <c r="J270" i="5" s="1"/>
  <c r="H154" i="5"/>
  <c r="J149" i="5" s="1"/>
  <c r="H94" i="5"/>
  <c r="J89" i="5" s="1"/>
  <c r="H104" i="5"/>
  <c r="J101" i="5" s="1"/>
  <c r="H144" i="5"/>
  <c r="H174" i="5"/>
  <c r="J171" i="5" s="1"/>
  <c r="G204" i="5"/>
  <c r="J219" i="5"/>
  <c r="M225" i="5" s="1"/>
  <c r="J142" i="5"/>
  <c r="H204" i="5"/>
  <c r="G234" i="5"/>
  <c r="J231" i="5" s="1"/>
  <c r="G264" i="5"/>
  <c r="J260" i="5" s="1"/>
  <c r="J139" i="5"/>
  <c r="J210" i="5"/>
  <c r="H264" i="5"/>
  <c r="G77" i="4"/>
  <c r="G76" i="4"/>
  <c r="G75" i="4"/>
  <c r="G61" i="4"/>
  <c r="G60" i="4"/>
  <c r="J280" i="5"/>
  <c r="J279" i="5"/>
  <c r="J281" i="5"/>
  <c r="J282" i="5"/>
  <c r="J239" i="5"/>
  <c r="J241" i="5"/>
  <c r="J240" i="5"/>
  <c r="J221" i="5"/>
  <c r="J209" i="5"/>
  <c r="J212" i="5"/>
  <c r="J211" i="5"/>
  <c r="H184" i="5"/>
  <c r="J169" i="5"/>
  <c r="J170" i="5"/>
  <c r="J172" i="5"/>
  <c r="J150" i="5"/>
  <c r="J141" i="5"/>
  <c r="J140" i="5"/>
  <c r="H124" i="5"/>
  <c r="H254" i="5"/>
  <c r="M165" i="5"/>
  <c r="G124" i="5"/>
  <c r="G254" i="5"/>
  <c r="G184" i="5"/>
  <c r="G104" i="5"/>
  <c r="G29" i="4"/>
  <c r="J90" i="5"/>
  <c r="G45" i="4"/>
  <c r="G46" i="4"/>
  <c r="W108" i="5" l="1"/>
  <c r="AA108" i="5" s="1"/>
  <c r="J229" i="5"/>
  <c r="J232" i="5"/>
  <c r="J230" i="5"/>
  <c r="J202" i="5"/>
  <c r="J201" i="5"/>
  <c r="J200" i="5"/>
  <c r="J131" i="5"/>
  <c r="J100" i="5"/>
  <c r="J99" i="5"/>
  <c r="M145" i="5"/>
  <c r="J271" i="5"/>
  <c r="J262" i="5"/>
  <c r="J261" i="5"/>
  <c r="J259" i="5"/>
  <c r="M265" i="5" s="1"/>
  <c r="J151" i="5"/>
  <c r="J189" i="5"/>
  <c r="M195" i="5" s="1"/>
  <c r="J269" i="5"/>
  <c r="J110" i="5"/>
  <c r="J111" i="5"/>
  <c r="J112" i="5"/>
  <c r="J109" i="5"/>
  <c r="J191" i="5"/>
  <c r="M215" i="5"/>
  <c r="J152" i="5"/>
  <c r="M155" i="5" s="1"/>
  <c r="J192" i="5"/>
  <c r="J272" i="5"/>
  <c r="M245" i="5"/>
  <c r="J199" i="5"/>
  <c r="M205" i="5" s="1"/>
  <c r="M285" i="5"/>
  <c r="J252" i="5"/>
  <c r="J250" i="5"/>
  <c r="J251" i="5"/>
  <c r="J249" i="5"/>
  <c r="J180" i="5"/>
  <c r="J179" i="5"/>
  <c r="J181" i="5"/>
  <c r="J182" i="5"/>
  <c r="M175" i="5"/>
  <c r="J132" i="5"/>
  <c r="J129" i="5"/>
  <c r="M135" i="5" s="1"/>
  <c r="J130" i="5"/>
  <c r="J119" i="5"/>
  <c r="J120" i="5"/>
  <c r="J122" i="5"/>
  <c r="J121" i="5"/>
  <c r="J102" i="5"/>
  <c r="M105" i="5" s="1"/>
  <c r="J92" i="5"/>
  <c r="J91" i="5"/>
  <c r="M95" i="5" s="1"/>
  <c r="G28" i="4"/>
  <c r="J32" i="4" s="1"/>
  <c r="J64" i="4"/>
  <c r="J49" i="4"/>
  <c r="M235" i="5" l="1"/>
  <c r="M125" i="5"/>
  <c r="M255" i="5"/>
  <c r="M275" i="5"/>
  <c r="M185" i="5"/>
  <c r="M115" i="5"/>
  <c r="J80" i="4"/>
  <c r="E39" i="4"/>
  <c r="E40" i="4" s="1"/>
  <c r="D39" i="4"/>
  <c r="D40" i="4" s="1"/>
  <c r="F39" i="4"/>
  <c r="L96" i="3"/>
  <c r="L91" i="3"/>
  <c r="L82" i="3"/>
  <c r="L81" i="3"/>
  <c r="L79" i="3"/>
  <c r="L67" i="3"/>
  <c r="L54" i="3"/>
  <c r="L53" i="3"/>
  <c r="L52" i="3"/>
  <c r="L45" i="3"/>
  <c r="L29" i="3"/>
  <c r="L28" i="3"/>
  <c r="L27" i="3"/>
  <c r="L26" i="3"/>
  <c r="L25" i="3"/>
  <c r="L7" i="3"/>
  <c r="L6" i="3"/>
  <c r="L5" i="3"/>
  <c r="L4" i="3"/>
  <c r="L3" i="3"/>
  <c r="G38" i="4" l="1"/>
  <c r="G37" i="4"/>
  <c r="G36" i="4"/>
  <c r="J41" i="4" s="1"/>
  <c r="J10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Sergio Rodriguez Manrique</author>
  </authors>
  <commentList>
    <comment ref="F94" authorId="0" shapeId="0" xr:uid="{CFA7F610-ED6C-422E-A393-0723DCB84036}">
      <text>
        <r>
          <rPr>
            <b/>
            <sz val="9"/>
            <color indexed="81"/>
            <rFont val="Tahoma"/>
            <family val="2"/>
          </rPr>
          <t>4°44′24″ N 74°1′48″ 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Sergio Rodriguez Manrique</author>
  </authors>
  <commentList>
    <comment ref="D1" authorId="0" shapeId="0" xr:uid="{B9E8601A-3550-45AB-A156-ADF626CB1D8E}">
      <text>
        <r>
          <rPr>
            <b/>
            <sz val="9"/>
            <color indexed="81"/>
            <rFont val="Tahoma"/>
            <family val="2"/>
          </rPr>
          <t>Sergio Rodriguez Manrique:</t>
        </r>
        <r>
          <rPr>
            <sz val="9"/>
            <color indexed="81"/>
            <rFont val="Tahoma"/>
            <family val="2"/>
          </rPr>
          <t xml:space="preserve">
No existen moviles en la localidad de Santa Fe ni en el Sumapaz</t>
        </r>
      </text>
    </comment>
  </commentList>
</comments>
</file>

<file path=xl/sharedStrings.xml><?xml version="1.0" encoding="utf-8"?>
<sst xmlns="http://schemas.openxmlformats.org/spreadsheetml/2006/main" count="2435" uniqueCount="561">
  <si>
    <t>Tunjuelito</t>
  </si>
  <si>
    <t>Bosa</t>
  </si>
  <si>
    <t>Engativa</t>
  </si>
  <si>
    <t>Suba</t>
  </si>
  <si>
    <t>Barrios Unidos</t>
  </si>
  <si>
    <t>Teusaquillo</t>
  </si>
  <si>
    <t>Antonio Nariño</t>
  </si>
  <si>
    <t>Puente Aranda</t>
  </si>
  <si>
    <t>Candelaria</t>
  </si>
  <si>
    <t>Rafael Uribe</t>
  </si>
  <si>
    <t>Ciudad Bolivar</t>
  </si>
  <si>
    <t>Sumapaz</t>
  </si>
  <si>
    <t>Usaquen</t>
  </si>
  <si>
    <t>Chapinero</t>
  </si>
  <si>
    <t>Santa fe</t>
  </si>
  <si>
    <t>San Cristobal</t>
  </si>
  <si>
    <t>Usme</t>
  </si>
  <si>
    <t>Ciudad Kennedy</t>
  </si>
  <si>
    <t>Fontibon</t>
  </si>
  <si>
    <t>Los Martines</t>
  </si>
  <si>
    <t>ACOMPA¥AMIENTO A EVENTO</t>
  </si>
  <si>
    <t>TRASTMENT - TRASTORNO MENTAL</t>
  </si>
  <si>
    <t>PATGIN - PATOLOGÖA GINECOBSTTRICA</t>
  </si>
  <si>
    <t>HERIDO - HERIDOS ACCIDENTALES</t>
  </si>
  <si>
    <t>EVERES - EVENTO RESPIRATORIO</t>
  </si>
  <si>
    <t>INTSUI - INTENTO DE SUICIDIO</t>
  </si>
  <si>
    <t>CONVULSIàN - CONVULSIàN</t>
  </si>
  <si>
    <t>CAIALT - CAÖDA DE ALTURA</t>
  </si>
  <si>
    <t>ENFERMO</t>
  </si>
  <si>
    <t>INTOX - INTOXICACIàN</t>
  </si>
  <si>
    <t>SINTOGASTR - SÖNTOMAS GASTROINTESTINALES</t>
  </si>
  <si>
    <t>DOLTOR - DOLOR TORµCICO</t>
  </si>
  <si>
    <t>INCONSCIEN - INCONSCIENTE O PARO CARDIORRESPIRATORIO</t>
  </si>
  <si>
    <t>ACV - ACCIDENTE CEREBRO VASCULAR</t>
  </si>
  <si>
    <t>APOYO CRUE</t>
  </si>
  <si>
    <t>AMESUI  - AMENAZA DE SUICIDIO</t>
  </si>
  <si>
    <t>MALTRATO - MALTRATO</t>
  </si>
  <si>
    <t>ELECTROCUC - ELECTROCUCIàN / RESCATE</t>
  </si>
  <si>
    <t>VIOSEXUAL - VIOLENCIA SEXUAL</t>
  </si>
  <si>
    <t>SANVAG - SANGRADO VAGINAL</t>
  </si>
  <si>
    <t>QUEMADURAS - QUEMADURAS</t>
  </si>
  <si>
    <t>ACOMPAÑAMIENTO A EVENTO</t>
  </si>
  <si>
    <t>QUEMADURAS</t>
  </si>
  <si>
    <t>SANGRADO VAGINAL</t>
  </si>
  <si>
    <t>VIOLENCIA SEXUAL</t>
  </si>
  <si>
    <t>RESCATE ELECTROCUCION</t>
  </si>
  <si>
    <t>MALTRATO</t>
  </si>
  <si>
    <t>AMENAZA DE SUICIDIO</t>
  </si>
  <si>
    <t>ACCIDENTE CEREBRO VASCULAR</t>
  </si>
  <si>
    <t>INCONSCIENTE O PARO CARDIORRESPIRATORIO</t>
  </si>
  <si>
    <t>DOLOR</t>
  </si>
  <si>
    <t>SINTOMAS GASTROINTESTINALES</t>
  </si>
  <si>
    <t>INTOXICACION</t>
  </si>
  <si>
    <t>CAIDA DE ALTURA</t>
  </si>
  <si>
    <t>CONVULSION</t>
  </si>
  <si>
    <t>INTENTO DE SUICIDIO</t>
  </si>
  <si>
    <t>EVENTO RESPIRATORIO</t>
  </si>
  <si>
    <t>HERIDOS ACCIDENTALES</t>
  </si>
  <si>
    <t>PATOLOGIA GINECO-OBSTETRICIA</t>
  </si>
  <si>
    <t>TRASTORNO MENTAL</t>
  </si>
  <si>
    <t>Subred Sur</t>
  </si>
  <si>
    <t>Subred Centro Oriente</t>
  </si>
  <si>
    <t>NombrePrestador</t>
  </si>
  <si>
    <t>Direccion</t>
  </si>
  <si>
    <t>Subred</t>
  </si>
  <si>
    <t>Hospital Jorge Eliécer Gaitán</t>
  </si>
  <si>
    <t>Hospital Materno Infantil</t>
  </si>
  <si>
    <t>Hospital San Blas</t>
  </si>
  <si>
    <t>Clasificacion</t>
  </si>
  <si>
    <t>Centro de Salud Samper Mendoza</t>
  </si>
  <si>
    <t>Centro de Salud Perseverancia</t>
  </si>
  <si>
    <t>Centro de Salud Laches</t>
  </si>
  <si>
    <t>Hospital</t>
  </si>
  <si>
    <t>Centro de salud</t>
  </si>
  <si>
    <t>Localidad</t>
  </si>
  <si>
    <t>Centro de Salud El Carmen</t>
  </si>
  <si>
    <t>Calle 48 B Sur No. 28 - 80</t>
  </si>
  <si>
    <t>Centro de Salud San Benito</t>
  </si>
  <si>
    <t>Calle 58 SurNo. 19 B - 25</t>
  </si>
  <si>
    <t>Hospital La Estrella</t>
  </si>
  <si>
    <t>Hospital Meissen</t>
  </si>
  <si>
    <t>Hospital El tunal</t>
  </si>
  <si>
    <t>Hospital Tunjuelito</t>
  </si>
  <si>
    <t>Carrera 18 F No.72 - 45 Sur</t>
  </si>
  <si>
    <t>Ciudad bolivar</t>
  </si>
  <si>
    <t>Hospital Vista hermosa</t>
  </si>
  <si>
    <t>Centro de Salud Candelaria La Nueva</t>
  </si>
  <si>
    <t>Carrera 51No. 59C - 40 Sur</t>
  </si>
  <si>
    <t>Centro de Salud Manuela Beltrán</t>
  </si>
  <si>
    <t>Carrera 49 D No.69 L - 16 Sur</t>
  </si>
  <si>
    <t>Centro de Salud Mochuelo</t>
  </si>
  <si>
    <t>Carrera 4 No. 3 - 29 Pasquilla</t>
  </si>
  <si>
    <t>Centro de Salud Pasquilla</t>
  </si>
  <si>
    <t>Carrera 1 No. 3 - 29 Pasquilla</t>
  </si>
  <si>
    <t>Centro de Salud Jerusalén</t>
  </si>
  <si>
    <t>Calle 77 No. 85B - 13Sur</t>
  </si>
  <si>
    <t>Centro de Salud Danubio</t>
  </si>
  <si>
    <t>Ca lle 65 Sur # 7 D - 90</t>
  </si>
  <si>
    <t>Centro de Salud Destino</t>
  </si>
  <si>
    <t>La Regadera</t>
  </si>
  <si>
    <t>Centro de Salud Betania</t>
  </si>
  <si>
    <t>Calle 76 B Sur No. 7 - 64</t>
  </si>
  <si>
    <t>Centro de Salud La Flora</t>
  </si>
  <si>
    <t>Carrera 14 B Este No. 74 B - 44 Sur</t>
  </si>
  <si>
    <t>Centro de Salud La Reforma</t>
  </si>
  <si>
    <t>Carrera 6 B Este No. 89 - 44 Sur</t>
  </si>
  <si>
    <t>Calle 76 Sur No. 14 - 74</t>
  </si>
  <si>
    <t>Centro de Salud Marichuela</t>
  </si>
  <si>
    <t>Centro de Salud Santa Librada</t>
  </si>
  <si>
    <t>Carrera 9 B No. 75 - 49 Sur</t>
  </si>
  <si>
    <t>Centro de Salud Usme</t>
  </si>
  <si>
    <t>Carrera 13 No. 135 A - 42 Sur</t>
  </si>
  <si>
    <t>Centro de Salud San Juan de Sumapaz</t>
  </si>
  <si>
    <t>Corregimiento San Juan de
Sumapaz</t>
  </si>
  <si>
    <t>Centro de Salud Nazareth</t>
  </si>
  <si>
    <t>Corregimiento de Nazareth de Sumapaz</t>
  </si>
  <si>
    <t>Centro de Salud Libertadores</t>
  </si>
  <si>
    <t>Carrera 15 a este # 57- 21sur</t>
  </si>
  <si>
    <t>Centro de Salud Antonio Nariño</t>
  </si>
  <si>
    <t>Calle 15 sur# 14- 50</t>
  </si>
  <si>
    <t>Hospital Universitario Santa Clara</t>
  </si>
  <si>
    <t>KR 10 Numero 1-66 Sur</t>
  </si>
  <si>
    <t>Centro de Salud San Jorge</t>
  </si>
  <si>
    <t>Diagonal 45 Bis B Sur Número 13 F - 72</t>
  </si>
  <si>
    <t>Centro de Salud Olaya</t>
  </si>
  <si>
    <t>Carrera 21 Número 22 - 51 Sur</t>
  </si>
  <si>
    <t>Centro de Salud Chircales</t>
  </si>
  <si>
    <t>Transversal 5 L Bis Número 48 F - 69 Sur</t>
  </si>
  <si>
    <t>Centro de Salud Diana Turbay</t>
  </si>
  <si>
    <t>Carrera 1 F Número 48 X - 40 Sur</t>
  </si>
  <si>
    <t>Carrera 23 Número 22 A - 26</t>
  </si>
  <si>
    <t>Carrera 5 Número 33 A - 45</t>
  </si>
  <si>
    <t>Diagonal 4 B Número 6 A - 11 Este</t>
  </si>
  <si>
    <t>Centro de Salud Cruces</t>
  </si>
  <si>
    <t>Calle 1 C Número 5 A - 30</t>
  </si>
  <si>
    <t>Centro de Salud La Candelaria</t>
  </si>
  <si>
    <t>Carrera 3 Número 12 D - 23</t>
  </si>
  <si>
    <t>Centro de Salud Los Alpes</t>
  </si>
  <si>
    <t>Transversal 10 B Este Número 36 D -13 Sur</t>
  </si>
  <si>
    <t>Centro de Salud Primero de Mayo</t>
  </si>
  <si>
    <t>Calle 22 Sur Número 8 A - 58</t>
  </si>
  <si>
    <t>Centro de Salud Bello Horizonte</t>
  </si>
  <si>
    <t>Carrera 3 A Este Número 31 C - 21 Sur</t>
  </si>
  <si>
    <t>Carrera 12 A Este Número 42 - 32 Sur</t>
  </si>
  <si>
    <t>Hospital Victoria</t>
  </si>
  <si>
    <t>Centro de Salud Altamira</t>
  </si>
  <si>
    <t>Subred Sur Occidente</t>
  </si>
  <si>
    <t>Hospital de Bosa</t>
  </si>
  <si>
    <t>Calle 73 Sur # 100A-53. Bogotá</t>
  </si>
  <si>
    <t>Centro de Salud El Porvenir</t>
  </si>
  <si>
    <t>Carrera 87 # 53B-51 Sur. Bogotá</t>
  </si>
  <si>
    <t>Centro de Salud José María Carbonell</t>
  </si>
  <si>
    <t>Diag. 71C Bis Sur #77g-41. Bogotá</t>
  </si>
  <si>
    <t>Centro de Salud La Estación</t>
  </si>
  <si>
    <t>Calle 63 Sur # 77G - 51. Bogotá</t>
  </si>
  <si>
    <t>Centro de Salud Olarte</t>
  </si>
  <si>
    <t>Kr 72A Bis a #57-13S. Bogotá</t>
  </si>
  <si>
    <t>Centro de Salud Pablo VI Bosa</t>
  </si>
  <si>
    <t>Calle 70 A Sur # 77I-26. Bogotá</t>
  </si>
  <si>
    <t>Centro de Salud Villa Javier</t>
  </si>
  <si>
    <t>Carrera 86 # 74-80 Sur. Bogotá</t>
  </si>
  <si>
    <t>Hospital Occidente de Kennedy</t>
  </si>
  <si>
    <t>Kennedy</t>
  </si>
  <si>
    <t>Hospital Pediátrico Tintal</t>
  </si>
  <si>
    <t>Calle 10 # 86-58. Bogotá</t>
  </si>
  <si>
    <t>Hospital de Salud Mental Floralia</t>
  </si>
  <si>
    <t>Calle 37d Sur # 68h-50. Bogotá</t>
  </si>
  <si>
    <t>Centro de salud Alquería</t>
  </si>
  <si>
    <t>Calle 38 d Sur # 68c-48. Bogotá</t>
  </si>
  <si>
    <t>Centro de Salud Abastos</t>
  </si>
  <si>
    <t>Carrera 80c # 2-40. Bogotá</t>
  </si>
  <si>
    <t>Centro de Salud Bomberos</t>
  </si>
  <si>
    <t>Calle 40 C Sur # 79-10. Bogotá</t>
  </si>
  <si>
    <t>Centro de Salud Britalia</t>
  </si>
  <si>
    <t>Carrera 81C # 48- 25 S. Bogotá</t>
  </si>
  <si>
    <t>Centro de salud Carvajal</t>
  </si>
  <si>
    <t>Carrera 72q # 35b-05 S. Bogotá</t>
  </si>
  <si>
    <t>Centro de Salud Catalina</t>
  </si>
  <si>
    <t>Carrera 78a # 53a-47 S. Bogotá</t>
  </si>
  <si>
    <t>Centro de Salud Mexicana</t>
  </si>
  <si>
    <t>Calle 39 Sur # 89 C - 12 In 1. Bogotá</t>
  </si>
  <si>
    <t>Centro de Salud Nuevas Delicias</t>
  </si>
  <si>
    <t>Trans.72b # 44d-21 Sur. Bogotá</t>
  </si>
  <si>
    <t>Centro de Salud Patios</t>
  </si>
  <si>
    <t>Calle 2a # 88b-47. Bogotá</t>
  </si>
  <si>
    <t>Centro de Salud Patio Bonito</t>
  </si>
  <si>
    <t>Diag. 38 Sur # 82-30. Bogotá</t>
  </si>
  <si>
    <t>Centro de Salud Tintal</t>
  </si>
  <si>
    <t>Calle 10B # 87 B - 51. Bogotá</t>
  </si>
  <si>
    <t>Centro de Salud 29</t>
  </si>
  <si>
    <t>Carrera 78 # 35-71 Sur</t>
  </si>
  <si>
    <t>Hospital Fontibón</t>
  </si>
  <si>
    <t>Casa Mas Bienestar Boston</t>
  </si>
  <si>
    <t>Carrera 104 # 20c-31. Bogotá</t>
  </si>
  <si>
    <t>Centro de Salud Centro Día</t>
  </si>
  <si>
    <t>Cr 97 # 19-34. Bogotá</t>
  </si>
  <si>
    <t>Centro de Salud Internacional</t>
  </si>
  <si>
    <t>Calle 23 # 112-60. Bogotá</t>
  </si>
  <si>
    <t>Centro de Salud Puerta de Teja</t>
  </si>
  <si>
    <t>Carrera 96 # 25G - 18. Bogotá</t>
  </si>
  <si>
    <t>Centro de Salud San Pablo</t>
  </si>
  <si>
    <t>Calle 18 A # 122 - 25. Bogotá</t>
  </si>
  <si>
    <t>Centro de Salud Terminal Aéreo</t>
  </si>
  <si>
    <t>Centro de Salud Terminal Terrestre</t>
  </si>
  <si>
    <t>Aeropuerto El Dorado muelle internacional2° piso, salida 5. Bogotá</t>
  </si>
  <si>
    <t>Dg. 23 # 69-60 módulo verde local 416. Bogotá</t>
  </si>
  <si>
    <t>Centro de Salud Zona Franca</t>
  </si>
  <si>
    <t>Carrera 106 # 15a-32. Bogotá</t>
  </si>
  <si>
    <t>Centro de Salud Alcalá Muzú</t>
  </si>
  <si>
    <t>Centro de Salud Asunción Bochica</t>
  </si>
  <si>
    <t>Centro de Salud Trinidad Galán</t>
  </si>
  <si>
    <t>Carrera 52 # 37-05 Sur. Bogotá</t>
  </si>
  <si>
    <t>Carrera 33 # 1D-27. Bogotá</t>
  </si>
  <si>
    <t>Carrera 60 # 4-15. Bogotá</t>
  </si>
  <si>
    <t>Barrios unidos</t>
  </si>
  <si>
    <t>Subred Norte</t>
  </si>
  <si>
    <t>Hospital de Chapinero</t>
  </si>
  <si>
    <t>Hospital de Engativá</t>
  </si>
  <si>
    <t>Hospital Emaús</t>
  </si>
  <si>
    <t>USS San Luis</t>
  </si>
  <si>
    <t>USS Alamos</t>
  </si>
  <si>
    <t>USS Bachué</t>
  </si>
  <si>
    <t>USS Bellavista</t>
  </si>
  <si>
    <t>USS Boyacá Real</t>
  </si>
  <si>
    <t>USS La Española</t>
  </si>
  <si>
    <t>USS Garcés Navas</t>
  </si>
  <si>
    <t>USS Quirigua</t>
  </si>
  <si>
    <t>Consulta Externa</t>
  </si>
  <si>
    <t>USS Suba</t>
  </si>
  <si>
    <t>Centro de servicios especializados Suba</t>
  </si>
  <si>
    <t>Fray Bartolomé de las Casas</t>
  </si>
  <si>
    <t>USS Gaitana</t>
  </si>
  <si>
    <t>USS Prado Veraniego</t>
  </si>
  <si>
    <t>USS Rincón</t>
  </si>
  <si>
    <t>Hospital Simón Bolívar</t>
  </si>
  <si>
    <t>USS Buena Vista</t>
  </si>
  <si>
    <t>USS Codito</t>
  </si>
  <si>
    <t>USS San Cristóbal</t>
  </si>
  <si>
    <t>USS Santa Cecilia</t>
  </si>
  <si>
    <t>USS Usaquén</t>
  </si>
  <si>
    <t>USS Verbenal</t>
  </si>
  <si>
    <t>Cl. 165 #7-06, Bogotá</t>
  </si>
  <si>
    <t>Tv 100A #80a-50, Bogotá, Colombia</t>
  </si>
  <si>
    <t>Cl. 66 #15-41, Bogotá, Colombia</t>
  </si>
  <si>
    <t>Santa Fe</t>
  </si>
  <si>
    <t>Rafael Uribe Uribe</t>
  </si>
  <si>
    <t>Los Martires</t>
  </si>
  <si>
    <t>La candelaria</t>
  </si>
  <si>
    <t>Latitud</t>
  </si>
  <si>
    <t>Longitud</t>
  </si>
  <si>
    <t>Grados</t>
  </si>
  <si>
    <t>Minutos</t>
  </si>
  <si>
    <t>Segundos</t>
  </si>
  <si>
    <t>º decimales</t>
  </si>
  <si>
    <t>Cl. 51 Sur #12D-15, Tunjuelito, Bogotá, D.C, Bogotá</t>
  </si>
  <si>
    <t>Cl. 67 Sur #18c-12, Cdad. Bolívar, Bogotá</t>
  </si>
  <si>
    <t>Cra. 18b # 60G-36, Cdad. Bolívar, Bogotá, D.C., Bogotá, Bogotá, D.C.</t>
  </si>
  <si>
    <t>Cra 20 #47b Sur-35, Bogotá</t>
  </si>
  <si>
    <t>Carrera 14 B Número 1 - 45 SUR, Antonio Nariño, Bogota</t>
  </si>
  <si>
    <t>Cra. 4A Este #6-1, La Candelaria, Bogotá</t>
  </si>
  <si>
    <t>Hospital San Blas, Tv 5 Este #19-50 SUR, San Cristóbal, Bogotá</t>
  </si>
  <si>
    <t>Hospital La Victoria- SCO, 1 a #37 Sur-15, San Cristóbal, Bogotá</t>
  </si>
  <si>
    <t>Hospital De Kennedy, Tv. 74f #40 B 54 Sur, Bogotá</t>
  </si>
  <si>
    <t>Hospital Fontibón E.S.E., Cra 99 Clle 16 i, Fontibón, Bogotá</t>
  </si>
  <si>
    <t>Centro Emaús - Hospital Engativá, Calle 64 C No. 121, Cl 64 #76, Bogotá</t>
  </si>
  <si>
    <t>Hospital de Suba, Cra. 104 #50 # 152c, Bogotá</t>
  </si>
  <si>
    <t>X</t>
  </si>
  <si>
    <t>Y</t>
  </si>
  <si>
    <t>dn</t>
  </si>
  <si>
    <t>Colombia</t>
  </si>
  <si>
    <t>Aipe</t>
  </si>
  <si>
    <t>CG1</t>
  </si>
  <si>
    <t>CENTRO DE GRAVEDAD</t>
  </si>
  <si>
    <t>Xo</t>
  </si>
  <si>
    <t>Yo</t>
  </si>
  <si>
    <t>MINIMIZAR</t>
  </si>
  <si>
    <t>LOCALIZACION DE LA MOVIL</t>
  </si>
  <si>
    <t>CG2</t>
  </si>
  <si>
    <t>CG3</t>
  </si>
  <si>
    <t>CG5</t>
  </si>
  <si>
    <t>CG7</t>
  </si>
  <si>
    <t>CG10</t>
  </si>
  <si>
    <t>$/Galon</t>
  </si>
  <si>
    <t>Barrios</t>
  </si>
  <si>
    <t>Codigo</t>
  </si>
  <si>
    <t>Limite Geografico</t>
  </si>
  <si>
    <t>Norte</t>
  </si>
  <si>
    <t>Oriente</t>
  </si>
  <si>
    <t>Sur</t>
  </si>
  <si>
    <t>Occidente</t>
  </si>
  <si>
    <t>Items</t>
  </si>
  <si>
    <t>Terpel Motomart, Av. Autopista Norte, Cl. 245 #Carrera 45, Bogotá</t>
  </si>
  <si>
    <t>Tecmar A.S, KILOMETRO 5.2 VIA LA CALERA PATIOS, Bogotá</t>
  </si>
  <si>
    <t>Carrera 1ª # 160B-24.</t>
  </si>
  <si>
    <t>Auto. Norte #168-30, Bogotá</t>
  </si>
  <si>
    <t>Parroquia Cristo Rey, Cl. 98 #18-23, Bogotá</t>
  </si>
  <si>
    <t>Cra. 3 Este #47 A - 15, Bogotá</t>
  </si>
  <si>
    <t>Cl. 74 #14-14, Bogotá</t>
  </si>
  <si>
    <t>Dg. 76 #2-68, este, Bogotá</t>
  </si>
  <si>
    <t>Tv. 55 #98a-66, Bogotá</t>
  </si>
  <si>
    <t>Ac 63 #59a-06, Bogotá</t>
  </si>
  <si>
    <t>Av. 68 #75a – 50, Bogotá</t>
  </si>
  <si>
    <t>Parroquia Señor de la Misericordia, Cra. 95g # 91a-28, Engativá, Bogotá, Cundinamarca</t>
  </si>
  <si>
    <t>Cra 68B #72-43, Bogotá</t>
  </si>
  <si>
    <t>Homecenter | Dorado, Cl. 50 #82-55, Bogotá</t>
  </si>
  <si>
    <t>Aeronova Academy, Autopista Norte, Via Guaymaral #KM 16, Bogotá, Cundinamarca</t>
  </si>
  <si>
    <t>Cra. 69 #98A - 11, Bogotá</t>
  </si>
  <si>
    <t>Centro Comercial Mazurén, Cra 46 #152-46, Bogotá</t>
  </si>
  <si>
    <t>Crea Fontanar, Cl. 145b #141a-46 a 141a-98, Bogotá</t>
  </si>
  <si>
    <t>Agrocampo, Cl. 73 #20-62, Barrios Unidos, Bogotá, Cundinamarca</t>
  </si>
  <si>
    <t>Colegio Lucila Rubio de Laverde IED, Dg. 77b #129-70, Bogotá</t>
  </si>
  <si>
    <t>Cra. 37 #24 29, Teusaquillo, Bogotá, Cundinamarca</t>
  </si>
  <si>
    <t>Universidad Antonio Nariño, Sede Federmán, Cl. 58a #37 - 94, Teusaquillo, Bogotá, Cundinamarca</t>
  </si>
  <si>
    <t>Ortofam, Av Caracas #47-39, Teusaquillo, Bogotá</t>
  </si>
  <si>
    <t>Compensar Calle 26, Ac. 26 #66a-48, Bogotá</t>
  </si>
  <si>
    <t>Colegio San Bartolomé La Merced, Cra. 5 #33B-80, Bogotá</t>
  </si>
  <si>
    <t>Clínica San Rafael - Centro San Juan Grande, Cra. 1a, Santa Fé, Bogotá, Cundinamarca</t>
  </si>
  <si>
    <t>Parque De La Mariposa, Av Jiménez de Quesada, Bogotá</t>
  </si>
  <si>
    <t>Iglesia de Nuestra Señora de Egipto, Cra. 4 Este #10-02, Bogotá</t>
  </si>
  <si>
    <t>Casa Museo Quinta de Bolívar, Calle 21 No.4A - 30 Este, Bogotá</t>
  </si>
  <si>
    <t>Fragmentos, Espacio de Arte y Memoria, Cra. 7 #6b-30, Bogotá</t>
  </si>
  <si>
    <t>Iglesia Monasterio La Concepción, Cra. 10 #9-18, Bogotá</t>
  </si>
  <si>
    <t>Universidad Externado de Colombia, Calle 12 #1-17 Este, Cl. 12 #1-17, Bogotá</t>
  </si>
  <si>
    <t>Hospital de la Samaritana, Cra 8 #0-29, Santa Fé, Bogotá</t>
  </si>
  <si>
    <t>Centro Médico San Camilo, Cra. 15 Este, Dg. 60 Sur #69, Bogotá, Cundinamarca</t>
  </si>
  <si>
    <t>Jardin Infantil Altos del Zuque, Cra. 17 Bis Este #44a Sur-1 a, Dg. 44a Sur #31, Bogotá</t>
  </si>
  <si>
    <t>Fitness24seven 20 de Julio, Cl. 27 Sur #9-47, Bogotá</t>
  </si>
  <si>
    <t>Centro de Memoria, Paz y Reconciliación, Cra. 19b #24 - 86, Bogotá</t>
  </si>
  <si>
    <t>Parroquia Nuestra Señora De La Consolata, Kr 24 #1D-65, Bogotá</t>
  </si>
  <si>
    <t>Parroquia Santa Teresita del Niño Jesús, Cra. 29 #9-33, Bogotá</t>
  </si>
  <si>
    <t>Cl. 12 #14-50, Bogotá</t>
  </si>
  <si>
    <t>Dg. 46 Sur #50-22, Bogotá</t>
  </si>
  <si>
    <t>Cra. 10 #16-37 Sur, Bogotá</t>
  </si>
  <si>
    <t>Cra. 31 #14B-57S, Bogotá</t>
  </si>
  <si>
    <t>Cra. 5a Bis #55 Sur65, Bogotá</t>
  </si>
  <si>
    <t>Biblioteca Rural Comunitaria Los Soches, Finca el recuerdo 1 Vereda, Usme, Bogotá</t>
  </si>
  <si>
    <t>Unidad de Servicios de Salud - Usme, Cl. 136 Sur #237, Bogotá</t>
  </si>
  <si>
    <t>COLEGIO NUEVA ESPERANZA I.E.D. SEDE A, Cl. 76b Sur, Bogotá</t>
  </si>
  <si>
    <t>Cl. 48b Sur #28-80, Bogotá</t>
  </si>
  <si>
    <t>Club Luis Amigo, Tv. 30 #57 Sur55, Bogotá</t>
  </si>
  <si>
    <t>Hospital Tunjuelito Saludable, a 11c-72, Cl. 54 Bis Sur #11c-2, Bogotá</t>
  </si>
  <si>
    <t>Cra. 72 #45A-51, Bogotá</t>
  </si>
  <si>
    <t>Universidad Antonio Nariño, Sede Sur, Cl. 22 Sur #12D-81, Rafael Uribe Uribe, Bogotá, Cundinamarca</t>
  </si>
  <si>
    <t>Salud Total Eps Santa Lucía, Ak. 14 6 sur, Bogotá</t>
  </si>
  <si>
    <t>Salón Comunal Ciudad Bochica Sur, Tv. 5a #48-30, Bogotá</t>
  </si>
  <si>
    <t>Parque Nueva Villa Mayor #1, Dg. 39b Sur #35-1, Bogotá</t>
  </si>
  <si>
    <t>Alcaldía Local de Ciudad Bolívar, Dg. 62 Sur #20f-20, Bogotá</t>
  </si>
  <si>
    <t>IPUC - Verbenal Sur, Cdad. Bolívar, Bogotá</t>
  </si>
  <si>
    <t>PARQUE CANCHA EL RECUERDO, Cdad. Bolívar, Bogotá</t>
  </si>
  <si>
    <t>USS Nazareth - UPA San Juan, San Juan, Bogotá</t>
  </si>
  <si>
    <t>Universidad Antonio Nariño Usme, Bogotá</t>
  </si>
  <si>
    <t>Colegio Rural Las Mercedes, Bogotá</t>
  </si>
  <si>
    <t>Vereda Curubital, Vía Parque Natural Del Sumapaz, Bogotá</t>
  </si>
  <si>
    <t>Liceo Central Américas, Cl. 49 Sur, Bogotá</t>
  </si>
  <si>
    <t>Colegio IED San Bernardino, Carrera #79-51 sur San Bernardo Localidad, Cl. 78 Sur #89c, Bogotá</t>
  </si>
  <si>
    <t>Hospital de Bosa Nivel IV, Cl. 73 Sur #KR 103, Bosa, Bogotá</t>
  </si>
  <si>
    <t>Nueva EPS Oficina De Atención Al Afiliado Bosa Estación, Carrera 77g #60 Sur45, Bogotá</t>
  </si>
  <si>
    <t>Centro Comercial El Edén, Cra. 72 #12b -18, Bogotá</t>
  </si>
  <si>
    <t>CAI Roma, Cra. 80, Kennedy, Bogotá, Cundinamarca</t>
  </si>
  <si>
    <t>Universidad Pública de Kennedy, Cl. 6c, Bogotá</t>
  </si>
  <si>
    <t>Parque Barrio San Andrés, Contra Esquina Carrera 68, Cl. 44 Sur, Bogotá</t>
  </si>
  <si>
    <t>Edificio Colfecar Business Center Dorado, Ac. 24 #95a-80, Bogotá</t>
  </si>
  <si>
    <t>EPS Sanitas - Centro Medico Fontibón, Cra. 96h #16j-04 16j-04, Bogotá</t>
  </si>
  <si>
    <t>Alameda puente grande, Cra. 136 #17D-18, Fontibón, Bogotá</t>
  </si>
  <si>
    <t>Athletic gym Salitre, Av. 68 #22-45, Bogotá</t>
  </si>
  <si>
    <t>Centro de Convenciones G12, Cl. 22c #31-01, Bogotá</t>
  </si>
  <si>
    <t>Cancha de Fútbol La Alquería, Cra. 52b #42B-06 sur, Puente Aranda, Bogotá</t>
  </si>
  <si>
    <t>Oficina Tramites EPS Sanitas, Cl. 12 #65-64, Bogotá</t>
  </si>
  <si>
    <t>Alkosto Carrera 30, Ave Cra 30 #10 - 25, Puente Aranda, Bogotá, Cundinamarca</t>
  </si>
  <si>
    <t>Compensar Autopista Sur, Autopista Sur #73i-45, Bogotá</t>
  </si>
  <si>
    <t>CANCHA OLD TRAFFORD FÚTBOL 5, Kr 24 #3-55 SUR, Bogotá</t>
  </si>
  <si>
    <t>CG4</t>
  </si>
  <si>
    <t>CG6</t>
  </si>
  <si>
    <t>CG8</t>
  </si>
  <si>
    <t>CG9</t>
  </si>
  <si>
    <t>CG11</t>
  </si>
  <si>
    <t>CG12</t>
  </si>
  <si>
    <t>CG13</t>
  </si>
  <si>
    <t>CG14</t>
  </si>
  <si>
    <t>CG15</t>
  </si>
  <si>
    <t>CG16</t>
  </si>
  <si>
    <t>CG17</t>
  </si>
  <si>
    <t>CG18</t>
  </si>
  <si>
    <t>CG19</t>
  </si>
  <si>
    <t>CG20</t>
  </si>
  <si>
    <t>Resultado</t>
  </si>
  <si>
    <t xml:space="preserve"> </t>
  </si>
  <si>
    <t>Subred Integrada De Servicios De Salud</t>
  </si>
  <si>
    <t>Coordenadas Geograficas</t>
  </si>
  <si>
    <t>Complejidad</t>
  </si>
  <si>
    <t>TAM</t>
  </si>
  <si>
    <t>TAB</t>
  </si>
  <si>
    <t>Propuesta Base</t>
  </si>
  <si>
    <t>Secretaría Distrital de Salud de Bogotá</t>
  </si>
  <si>
    <t>KRA 32 12 81</t>
  </si>
  <si>
    <t>EDS PRIMAX SANTA ANA</t>
  </si>
  <si>
    <t>CLL 11 SUR 7 13</t>
  </si>
  <si>
    <t>EDS TERPEL LA HERRADURA</t>
  </si>
  <si>
    <t>TV 6B ESTE 40A 35 SUR</t>
  </si>
  <si>
    <t>Estación UAECOB B-9 Bellavista</t>
  </si>
  <si>
    <t>CL 41B SUR 15 ESTE 09</t>
  </si>
  <si>
    <t>TV 5 Este # 19 - 50 Sur</t>
  </si>
  <si>
    <t>Centro de atención Balcanes</t>
  </si>
  <si>
    <t>Calle sur # 1B - 10 Este</t>
  </si>
  <si>
    <t>EDS TEXACO MATATIGRES</t>
  </si>
  <si>
    <t>KR 27 30 06</t>
  </si>
  <si>
    <t>Éxito Ciudad Jardín</t>
  </si>
  <si>
    <t>KRA 12D 16 Sur 48</t>
  </si>
  <si>
    <t>EDS TEXACO AV CL 11</t>
  </si>
  <si>
    <t>AV CL 11 SUR 15 11</t>
  </si>
  <si>
    <t>EDS TEXACO CL 1</t>
  </si>
  <si>
    <t>CL 1 KRA 26</t>
  </si>
  <si>
    <t>Estación UAECOB B-17 Centro Histórico</t>
  </si>
  <si>
    <t>CL 9 3 12 ESTE</t>
  </si>
  <si>
    <t>EDS TEXACO SAN BLAS</t>
  </si>
  <si>
    <t>KRA 3 ESTE 22 90 SUR</t>
  </si>
  <si>
    <t>Alcaldía Local de Puente Aranda</t>
  </si>
  <si>
    <t>Kra 31D # 4 - 05</t>
  </si>
  <si>
    <t>MOVIL ESPEJO</t>
  </si>
  <si>
    <t>Movil</t>
  </si>
  <si>
    <t>EDS TERPEL CARRERA 10</t>
  </si>
  <si>
    <t>KR 10 31 SUR 50</t>
  </si>
  <si>
    <t>UNIVERSIDAD DISTRITAL FRANCISCO JOSE DE CALDAS FACULTAD TECNOLOGIA</t>
  </si>
  <si>
    <t>Calle 68 n bis a sur # 49 f 70</t>
  </si>
  <si>
    <t>EDS BRIO SAN CARLOS</t>
  </si>
  <si>
    <t>AV CARACAS 50SUR 73</t>
  </si>
  <si>
    <t>Centro Comercial Ciudad Tunal</t>
  </si>
  <si>
    <t>CL 47B SUR 24B 33</t>
  </si>
  <si>
    <t>frigorifico guadalupe</t>
  </si>
  <si>
    <t>Autopista Sur N. 66-78</t>
  </si>
  <si>
    <t>EDS TERPEL GANADERO</t>
  </si>
  <si>
    <t>CL 71 BIS SUR 17 88</t>
  </si>
  <si>
    <t>EDS PETROMIL SERVI-CENTRO VENECIA</t>
  </si>
  <si>
    <t>KR 53 52 B 11 SUR</t>
  </si>
  <si>
    <t>EDS TERPEL LAS VEGAS GAZEL</t>
  </si>
  <si>
    <t>KR 51 58D 17 SUR</t>
  </si>
  <si>
    <t>Centro Comercial Gran Plaza El Ensueño</t>
  </si>
  <si>
    <t>AV VILLAVICENCIO TV 63</t>
  </si>
  <si>
    <t>EDS TEXACO CIUDAD BOLÍVAR</t>
  </si>
  <si>
    <t>DG 62 SUR 21 A 36</t>
  </si>
  <si>
    <t>EDS PRIMAX EL TRIÁNGULO AUTOGAS</t>
  </si>
  <si>
    <t>KRA 7 59 47</t>
  </si>
  <si>
    <t>EDS PRIMAX LAS DELICIAS</t>
  </si>
  <si>
    <t>AUTO SUR 59A 50</t>
  </si>
  <si>
    <t>EDS SHELL TANQUEO SUR</t>
  </si>
  <si>
    <t>AV BOYACA 55 41</t>
  </si>
  <si>
    <t>Terminal Satelite del Sur</t>
  </si>
  <si>
    <t>CL 57Q 75F 82</t>
  </si>
  <si>
    <t>CL 20 68A 06</t>
  </si>
  <si>
    <t>EDS TEXACO 40</t>
  </si>
  <si>
    <t>AV CL 26 SUR 52 57</t>
  </si>
  <si>
    <t>MAKRO SUPERMAYORISTA S.A - VILLA DEL RÍO</t>
  </si>
  <si>
    <t>KRA 63 57G CL 47 Sur</t>
  </si>
  <si>
    <t>CUERPO DE BOMBEROS VOLUNTARIOS DE BOGOTA E UNO</t>
  </si>
  <si>
    <t>CALLE 8 SUR 70B - 90</t>
  </si>
  <si>
    <t>SEDE ADMINISTRATIVA BOSTON SUBRED SUR OCCIDENTE</t>
  </si>
  <si>
    <t>carrera 104 # 20c - 31</t>
  </si>
  <si>
    <t>EDS PETROBRAS EL VERGEL</t>
  </si>
  <si>
    <t>AV CIUDAD DE CALI 12 75</t>
  </si>
  <si>
    <t>Metro Bosa Atalayas</t>
  </si>
  <si>
    <t>KRA 92 60 90 SUR</t>
  </si>
  <si>
    <t>EDS TERPEL TRINIDAD</t>
  </si>
  <si>
    <t>KRA 68 1A 24</t>
  </si>
  <si>
    <t>EDS TERPEL BETANIA</t>
  </si>
  <si>
    <t>KR 86 A 52 19 SUR</t>
  </si>
  <si>
    <t>USS Fray Bartolomé de las Casas</t>
  </si>
  <si>
    <t>AV SUBA 106 47</t>
  </si>
  <si>
    <t>Metro San Cayetano</t>
  </si>
  <si>
    <t>CL 26 A 85 A 51</t>
  </si>
  <si>
    <t>Farmatodo Britalia norte</t>
  </si>
  <si>
    <t>CL 167 73 02</t>
  </si>
  <si>
    <t>Éxito Norte</t>
  </si>
  <si>
    <t>Cl 175 22 13</t>
  </si>
  <si>
    <t>Casino Central de Oficiales de la Fuerza Aérea Colombiana</t>
  </si>
  <si>
    <t>CL 64 4 21</t>
  </si>
  <si>
    <t>Centro Comercial Unicentro</t>
  </si>
  <si>
    <t>KRA 15 124 30</t>
  </si>
  <si>
    <t>CL 80 90A 17</t>
  </si>
  <si>
    <t>EDS TERPEL LA CONEJERA</t>
  </si>
  <si>
    <t>KRA 98A 140B 60</t>
  </si>
  <si>
    <t>CENTRO COMERCIAL TITAN PLAZA</t>
  </si>
  <si>
    <t>av boyaca # 80-94</t>
  </si>
  <si>
    <t>Casino Central de Suboficiales Fuerza Aeroespacial Colombiana</t>
  </si>
  <si>
    <t>KRA 61 96 02</t>
  </si>
  <si>
    <t>mercado zapatoca</t>
  </si>
  <si>
    <t>carrera 104 # 152a - 65</t>
  </si>
  <si>
    <t>PARQUE INDUSTRIAL VILLA ALSACIA</t>
  </si>
  <si>
    <t>Avenida callle 12 # 79A - 25</t>
  </si>
  <si>
    <t>Centro comercial Iserra 100</t>
  </si>
  <si>
    <t>Transversal 55 # 98A-66</t>
  </si>
  <si>
    <t>Centro comercial los heroes</t>
  </si>
  <si>
    <t>Carrera 19A # 79-99</t>
  </si>
  <si>
    <t>Centro de Comando, Control, Comunicaciones y Computo C4</t>
  </si>
  <si>
    <t>EDS PRIMAX LAGARTOS</t>
  </si>
  <si>
    <t>AV BOYACA 95 31</t>
  </si>
  <si>
    <t>EDS TERPEL VILLA ALSACIA</t>
  </si>
  <si>
    <t>CL 12 B 71 D 81</t>
  </si>
  <si>
    <t>Jumbo autopista sur</t>
  </si>
  <si>
    <t>CL 57 77A 18 SUR</t>
  </si>
  <si>
    <t>CRUE Cundinamarca</t>
  </si>
  <si>
    <t>AV AMERICAS 54 95</t>
  </si>
  <si>
    <t>Centro Comercial Multiplaza</t>
  </si>
  <si>
    <t>AV BOYACA CL 13</t>
  </si>
  <si>
    <t>Club Ecopetrol</t>
  </si>
  <si>
    <t>AV SUBA 100 90</t>
  </si>
  <si>
    <t>Instituto Nacional de Salud</t>
  </si>
  <si>
    <t>CL 26 51 20</t>
  </si>
  <si>
    <t>DIAN Edificio Sendas</t>
  </si>
  <si>
    <t>KR 7 6C 54</t>
  </si>
  <si>
    <t>Centro Comercial AltaVista</t>
  </si>
  <si>
    <t>KR 1A 65D 58 SUR</t>
  </si>
  <si>
    <t>Bomberos estación Venecia</t>
  </si>
  <si>
    <t>KR 49A SUR 49 61</t>
  </si>
  <si>
    <t>Centro Comercial Centro Mayor</t>
  </si>
  <si>
    <t>CL 38A SUR 34D 51</t>
  </si>
  <si>
    <t>IDIGER</t>
  </si>
  <si>
    <t>DG 47 77A 09</t>
  </si>
  <si>
    <t>Centro Comercial Hayuelos</t>
  </si>
  <si>
    <t>CL 20 82 52</t>
  </si>
  <si>
    <t>Centro Comercial Milenio Plaza</t>
  </si>
  <si>
    <t>AK 86 42B 51 SUR</t>
  </si>
  <si>
    <t>SMS030</t>
  </si>
  <si>
    <t>Cafam madelena</t>
  </si>
  <si>
    <t>CL 57R SUR 67 71</t>
  </si>
  <si>
    <t>Concejo de Bogotá</t>
  </si>
  <si>
    <t>CL 36 28A 06</t>
  </si>
  <si>
    <t>Bomberos estación Kennedy</t>
  </si>
  <si>
    <t>KR 79 41D 20 SUR</t>
  </si>
  <si>
    <t>Estación de servicio Primax la sevillana</t>
  </si>
  <si>
    <t>AC 45 SUR 60</t>
  </si>
  <si>
    <t>Portal TransMilenio del Sur</t>
  </si>
  <si>
    <t>AUTOPISTA SUR TV 73</t>
  </si>
  <si>
    <t>Bomberos estación suba</t>
  </si>
  <si>
    <t>Calle 146c # 92-04</t>
  </si>
  <si>
    <t>Subdirección local para la integración social Tunjuelito</t>
  </si>
  <si>
    <t>DG 47A 53 92 SUR</t>
  </si>
  <si>
    <t>Circulo de Suboficiales de las FFMM Colina campestre.</t>
  </si>
  <si>
    <t>Cl 138 55 38</t>
  </si>
  <si>
    <t>Vehiculo sale de circulacion</t>
  </si>
  <si>
    <t>MOVIL ESPEJO - Estación de servicio Texaco Calle 11</t>
  </si>
  <si>
    <t>MOVIL ESPEJO - Estacion de Servicio Texaco MataTigres</t>
  </si>
  <si>
    <t>Hospital Tunal</t>
  </si>
  <si>
    <t>Av. Cdad. de Villavicencio #TV 63, Bogotá</t>
  </si>
  <si>
    <t>Codabas carrera 7 180-75</t>
  </si>
  <si>
    <t>IDRD calle 63a 59a</t>
  </si>
  <si>
    <t>Aeropuerto el dorado AV dorado carrera 103</t>
  </si>
  <si>
    <t>SALUDMENTAL</t>
  </si>
  <si>
    <t>USS ENGATIVA CALLE 80</t>
  </si>
  <si>
    <t>Movil ESPEJO - Hospital de Engativa</t>
  </si>
  <si>
    <t>Tv 100A #80a-50, Bogotá</t>
  </si>
  <si>
    <t>Movil ESPEJO - Hospital Kennedy</t>
  </si>
  <si>
    <t>Av. 1 de Mayo #40B - 54, Bogotá</t>
  </si>
  <si>
    <t>Aeropuerto el Dorado</t>
  </si>
  <si>
    <t>EDS SHELL LA ESPAÑOLA AV CL 80 86 94</t>
  </si>
  <si>
    <t>EDS SHELL</t>
  </si>
  <si>
    <t>Defensa Civil Colombiana - Dirección General</t>
  </si>
  <si>
    <t>Cl. 52 #14-67, Bogotá</t>
  </si>
  <si>
    <t>Cra. 69j #72-61, Bogotá</t>
  </si>
  <si>
    <t xml:space="preserve">Estacion de bomberos Las Ferias </t>
  </si>
  <si>
    <t>EDS ESSO SERVICIOS CONTINENTAL SAS</t>
  </si>
  <si>
    <t>Moviles x Localidad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</si>
</sst>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0" fontId="0" fillId="2" borderId="0" xfId="0" applyFill="1"/>
    <xf numFmtId="0" fontId="0" fillId="2" borderId="4" xfId="0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3" fontId="0" fillId="0" borderId="0" xfId="0" applyNumberFormat="1"/>
    <xf numFmtId="0" fontId="0" fillId="3" borderId="4" xfId="0" applyFill="1" applyBorder="1" applyAlignment="1">
      <alignment horizontal="center" vertical="center"/>
    </xf>
    <xf numFmtId="4" fontId="0" fillId="3" borderId="4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3" fontId="2" fillId="3" borderId="4" xfId="0" applyNumberFormat="1" applyFont="1" applyFill="1" applyBorder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4" fontId="0" fillId="0" borderId="0" xfId="0" applyNumberFormat="1"/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0" borderId="0" xfId="0" applyNumberFormat="1"/>
    <xf numFmtId="2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2" fontId="0" fillId="0" borderId="0" xfId="0" applyNumberFormat="1"/>
    <xf numFmtId="0" fontId="0" fillId="3" borderId="4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5" borderId="0" xfId="0" applyFill="1"/>
    <xf numFmtId="2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2" fontId="0" fillId="0" borderId="0" xfId="0" applyNumberFormat="1" applyFill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_tradnl"/>
              <a:t>DEPARTAMENTO HUILA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'[1]Coordenadas google earth'!$G$27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solidFill>
                  <a:srgbClr val="FFFF00"/>
                </a:solidFill>
                <a:ln w="9525" cap="rnd">
                  <a:solidFill>
                    <a:srgbClr val="FFFF0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solidFill>
                  <a:srgbClr val="FFFF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10-4BE1-8F06-4009A36EAFFE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FFFF00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10-4BE1-8F06-4009A36EAFFE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FFFF00"/>
                </a:solidFill>
                <a:ln w="9525" cap="rnd">
                  <a:solidFill>
                    <a:srgbClr val="FFFF0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solidFill>
                  <a:srgbClr val="FFFF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10-4BE1-8F06-4009A36EAFFE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FFFF00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410-4BE1-8F06-4009A36EAFFE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FFFF00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410-4BE1-8F06-4009A36EAFFE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FFFF00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410-4BE1-8F06-4009A36EAFFE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chemeClr val="accent6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410-4BE1-8F06-4009A36EAFFE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chemeClr val="accent6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410-4BE1-8F06-4009A36EAFFE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chemeClr val="accent6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410-4BE1-8F06-4009A36EAFFE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chemeClr val="accent6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410-4BE1-8F06-4009A36EAFFE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chemeClr val="accent6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410-4BE1-8F06-4009A36EAFFE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chemeClr val="accent6"/>
                </a:solidFill>
                <a:ln w="9525" cap="rnd">
                  <a:noFill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410-4BE1-8F06-4009A36EAFFE}"/>
              </c:ext>
            </c:extLst>
          </c:dPt>
          <c:dLbls>
            <c:dLbl>
              <c:idx val="0"/>
              <c:layout>
                <c:manualLayout>
                  <c:x val="-2.7921700774293602E-2"/>
                  <c:y val="4.387772188710593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COLOMBIA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410-4BE1-8F06-4009A36EAFFE}"/>
                </c:ext>
              </c:extLst>
            </c:dLbl>
            <c:dLbl>
              <c:idx val="1"/>
              <c:layout>
                <c:manualLayout>
                  <c:x val="-4.0127971659797035E-2"/>
                  <c:y val="3.002848481819306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AIPE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410-4BE1-8F06-4009A36EAFFE}"/>
                </c:ext>
              </c:extLst>
            </c:dLbl>
            <c:dLbl>
              <c:idx val="2"/>
              <c:layout>
                <c:manualLayout>
                  <c:x val="7.669091504934496E-4"/>
                  <c:y val="-3.000015432059671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VILLA VIEJA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410-4BE1-8F06-4009A36EAFFE}"/>
                </c:ext>
              </c:extLst>
            </c:dLbl>
            <c:dLbl>
              <c:idx val="3"/>
              <c:layout>
                <c:manualLayout>
                  <c:x val="-5.5843401548587447E-2"/>
                  <c:y val="-4.3877721887105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BARAYA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3410-4BE1-8F06-4009A36EAFFE}"/>
                </c:ext>
              </c:extLst>
            </c:dLbl>
            <c:dLbl>
              <c:idx val="4"/>
              <c:layout>
                <c:manualLayout>
                  <c:x val="-5.5213967006352671E-2"/>
                  <c:y val="-3.90534757720118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TELLO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410-4BE1-8F06-4009A36EAFFE}"/>
                </c:ext>
              </c:extLst>
            </c:dLbl>
            <c:dLbl>
              <c:idx val="5"/>
              <c:layout>
                <c:manualLayout>
                  <c:x val="-5.3402256464893771E-2"/>
                  <c:y val="-3.90333701488748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NEIVA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3410-4BE1-8F06-4009A36EAFFE}"/>
                </c:ext>
              </c:extLst>
            </c:dLbl>
            <c:dLbl>
              <c:idx val="6"/>
              <c:layout>
                <c:manualLayout>
                  <c:x val="3.5050205390684689E-3"/>
                  <c:y val="1.13321990385596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PALERMO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3410-4BE1-8F06-4009A36EAFFE}"/>
                </c:ext>
              </c:extLst>
            </c:dLbl>
            <c:dLbl>
              <c:idx val="7"/>
              <c:layout>
                <c:manualLayout>
                  <c:x val="-5.0916042588418087E-2"/>
                  <c:y val="-3.51021775096847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RIVERA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3410-4BE1-8F06-4009A36EAFFE}"/>
                </c:ext>
              </c:extLst>
            </c:dLbl>
            <c:dLbl>
              <c:idx val="8"/>
              <c:layout>
                <c:manualLayout>
                  <c:x val="-9.0679053434944701E-2"/>
                  <c:y val="-3.74462382742259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CAMPO ALEGRE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3410-4BE1-8F06-4009A36EAFFE}"/>
                </c:ext>
              </c:extLst>
            </c:dLbl>
            <c:dLbl>
              <c:idx val="9"/>
              <c:layout>
                <c:manualLayout>
                  <c:x val="-2.2411335667340996E-2"/>
                  <c:y val="2.496538727214380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YAGUARA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3410-4BE1-8F06-4009A36EAFFE}"/>
                </c:ext>
              </c:extLst>
            </c:dLbl>
            <c:dLbl>
              <c:idx val="10"/>
              <c:layout>
                <c:manualLayout>
                  <c:x val="-9.4964691787230757E-2"/>
                  <c:y val="-2.353757625913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ALGECIRAS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3410-4BE1-8F06-4009A36EAFFE}"/>
                </c:ext>
              </c:extLst>
            </c:dLbl>
            <c:dLbl>
              <c:idx val="11"/>
              <c:layout>
                <c:manualLayout>
                  <c:x val="-7.7272757253078916E-2"/>
                  <c:y val="-2.580217343285706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TESALIA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3410-4BE1-8F06-4009A36EAFF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GIGANTE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3410-4BE1-8F06-4009A36EAFFE}"/>
                </c:ext>
              </c:extLst>
            </c:dLbl>
            <c:dLbl>
              <c:idx val="13"/>
              <c:layout>
                <c:manualLayout>
                  <c:x val="-8.0708421554923304E-2"/>
                  <c:y val="-2.758838135025427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LA PLATA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3410-4BE1-8F06-4009A36EAFF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GARZON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3410-4BE1-8F06-4009A36EAFFE}"/>
                </c:ext>
              </c:extLst>
            </c:dLbl>
            <c:dLbl>
              <c:idx val="15"/>
              <c:layout>
                <c:manualLayout>
                  <c:x val="-2.9564153761016884E-2"/>
                  <c:y val="-3.802735896882527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TARQUI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3410-4BE1-8F06-4009A36EAFFE}"/>
                </c:ext>
              </c:extLst>
            </c:dLbl>
            <c:dLbl>
              <c:idx val="16"/>
              <c:layout>
                <c:manualLayout>
                  <c:x val="-9.7425914054185686E-3"/>
                  <c:y val="2.376997847112501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TIMANA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3410-4BE1-8F06-4009A36EAFFE}"/>
                </c:ext>
              </c:extLst>
            </c:dLbl>
            <c:dLbl>
              <c:idx val="17"/>
              <c:layout>
                <c:manualLayout>
                  <c:x val="-5.9654050714508564E-2"/>
                  <c:y val="-4.72943680290072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ISNOS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3410-4BE1-8F06-4009A36EAFFE}"/>
                </c:ext>
              </c:extLst>
            </c:dLbl>
            <c:dLbl>
              <c:idx val="18"/>
              <c:layout>
                <c:manualLayout>
                  <c:x val="3.6021839192989104E-2"/>
                  <c:y val="0.1001934535360261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PITALITO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3410-4BE1-8F06-4009A36EAF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('[1]Coordenadas google earth'!$F$28:$F$33,'[1]Coordenadas google earth'!$F$38:$F$43,'[1]Coordenadas google earth'!$F$48:$F$54)</c:f>
              <c:numCache>
                <c:formatCode>General</c:formatCode>
                <c:ptCount val="19"/>
                <c:pt idx="0">
                  <c:v>3.3763888888888891</c:v>
                </c:pt>
                <c:pt idx="1">
                  <c:v>3.2219444444444445</c:v>
                </c:pt>
                <c:pt idx="2">
                  <c:v>3.2205555555555558</c:v>
                </c:pt>
                <c:pt idx="3">
                  <c:v>3.1516666666666664</c:v>
                </c:pt>
                <c:pt idx="4">
                  <c:v>3.0672222222222225</c:v>
                </c:pt>
                <c:pt idx="5">
                  <c:v>2.9344444444444449</c:v>
                </c:pt>
                <c:pt idx="6">
                  <c:v>2.8861111111111111</c:v>
                </c:pt>
                <c:pt idx="7">
                  <c:v>2.7774999999999999</c:v>
                </c:pt>
                <c:pt idx="8">
                  <c:v>2.6850000000000001</c:v>
                </c:pt>
                <c:pt idx="9">
                  <c:v>2.6641666666666666</c:v>
                </c:pt>
                <c:pt idx="10">
                  <c:v>2.5230555555555556</c:v>
                </c:pt>
                <c:pt idx="11">
                  <c:v>2.4852777777777777</c:v>
                </c:pt>
                <c:pt idx="12">
                  <c:v>2.3844444444444446</c:v>
                </c:pt>
                <c:pt idx="13">
                  <c:v>2.3888888888888888</c:v>
                </c:pt>
                <c:pt idx="14">
                  <c:v>2.1952777777777777</c:v>
                </c:pt>
                <c:pt idx="15">
                  <c:v>2.1130555555555555</c:v>
                </c:pt>
                <c:pt idx="16">
                  <c:v>1.9741666666666668</c:v>
                </c:pt>
                <c:pt idx="17">
                  <c:v>1.9302777777777775</c:v>
                </c:pt>
                <c:pt idx="18">
                  <c:v>1.8561111111111113</c:v>
                </c:pt>
              </c:numCache>
            </c:numRef>
          </c:xVal>
          <c:yVal>
            <c:numRef>
              <c:f>('[1]Coordenadas google earth'!$G$28:$G$33,'[1]Coordenadas google earth'!$G$38:$G$43,'[1]Coordenadas google earth'!$G$48:$G$54)</c:f>
              <c:numCache>
                <c:formatCode>General</c:formatCode>
                <c:ptCount val="19"/>
                <c:pt idx="0">
                  <c:v>-74.802222222222213</c:v>
                </c:pt>
                <c:pt idx="1">
                  <c:v>-75.237222222222229</c:v>
                </c:pt>
                <c:pt idx="2">
                  <c:v>-75.218611111111116</c:v>
                </c:pt>
                <c:pt idx="3">
                  <c:v>-75.05416666666666</c:v>
                </c:pt>
                <c:pt idx="4">
                  <c:v>-75.137777777777785</c:v>
                </c:pt>
                <c:pt idx="5">
                  <c:v>-75.280833333333334</c:v>
                </c:pt>
                <c:pt idx="6">
                  <c:v>-75.433055555555555</c:v>
                </c:pt>
                <c:pt idx="7">
                  <c:v>-75.259444444444441</c:v>
                </c:pt>
                <c:pt idx="8">
                  <c:v>-75.326388888888886</c:v>
                </c:pt>
                <c:pt idx="9">
                  <c:v>-75.518333333333331</c:v>
                </c:pt>
                <c:pt idx="10">
                  <c:v>-75.315555555555548</c:v>
                </c:pt>
                <c:pt idx="11">
                  <c:v>-75.727222222222224</c:v>
                </c:pt>
                <c:pt idx="12">
                  <c:v>-75.542777777777772</c:v>
                </c:pt>
                <c:pt idx="13">
                  <c:v>-75.894166666666678</c:v>
                </c:pt>
                <c:pt idx="14">
                  <c:v>-75.627222222222215</c:v>
                </c:pt>
                <c:pt idx="15">
                  <c:v>-75.825000000000003</c:v>
                </c:pt>
                <c:pt idx="16">
                  <c:v>-75.932777777777787</c:v>
                </c:pt>
                <c:pt idx="17">
                  <c:v>-76.215277777777786</c:v>
                </c:pt>
                <c:pt idx="18">
                  <c:v>-76.046111111111102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410-4BE1-8F06-4009A36EAFFE}"/>
            </c:ext>
          </c:extLst>
        </c:ser>
        <c:ser>
          <c:idx val="1"/>
          <c:order val="1"/>
          <c:tx>
            <c:v>CG1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FFF00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CG1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3410-4BE1-8F06-4009A36EAF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'[1]Coordenadas google earth'!$F$35</c:f>
              <c:numCache>
                <c:formatCode>General</c:formatCode>
                <c:ptCount val="1"/>
                <c:pt idx="0">
                  <c:v>3.1620370370370372</c:v>
                </c:pt>
              </c:numCache>
            </c:numRef>
          </c:xVal>
          <c:yVal>
            <c:numRef>
              <c:f>'[1]Coordenadas google earth'!$G$35</c:f>
              <c:numCache>
                <c:formatCode>General</c:formatCode>
                <c:ptCount val="1"/>
                <c:pt idx="0">
                  <c:v>-75.121805555555554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410-4BE1-8F06-4009A36EAFFE}"/>
            </c:ext>
          </c:extLst>
        </c:ser>
        <c:ser>
          <c:idx val="2"/>
          <c:order val="2"/>
          <c:tx>
            <c:v>CG2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CG2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3410-4BE1-8F06-4009A36EAF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'[1]Coordenadas google earth'!$F$45</c:f>
              <c:numCache>
                <c:formatCode>General</c:formatCode>
                <c:ptCount val="1"/>
                <c:pt idx="0">
                  <c:v>2.670185185185185</c:v>
                </c:pt>
              </c:numCache>
            </c:numRef>
          </c:xVal>
          <c:yVal>
            <c:numRef>
              <c:f>'[1]Coordenadas google earth'!$G$45</c:f>
              <c:numCache>
                <c:formatCode>General</c:formatCode>
                <c:ptCount val="1"/>
                <c:pt idx="0">
                  <c:v>-75.430000000000007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410-4BE1-8F06-4009A36EAFFE}"/>
            </c:ext>
          </c:extLst>
        </c:ser>
        <c:ser>
          <c:idx val="3"/>
          <c:order val="3"/>
          <c:tx>
            <c:v>CG3</c:v>
          </c:tx>
          <c:spPr>
            <a:ln w="254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8.2122649336158014E-3"/>
                  <c:y val="1.17007258365615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CG3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3410-4BE1-8F06-4009A36EAF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'[1]Coordenadas google earth'!$F$56</c:f>
              <c:numCache>
                <c:formatCode>General</c:formatCode>
                <c:ptCount val="1"/>
                <c:pt idx="0">
                  <c:v>2.1203174603174602</c:v>
                </c:pt>
              </c:numCache>
            </c:numRef>
          </c:xVal>
          <c:yVal>
            <c:numRef>
              <c:f>'[1]Coordenadas google earth'!$G$56</c:f>
              <c:numCache>
                <c:formatCode>General</c:formatCode>
                <c:ptCount val="1"/>
                <c:pt idx="0">
                  <c:v>-75.869047619047606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410-4BE1-8F06-4009A36EA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450992"/>
        <c:axId val="857577952"/>
      </c:scatterChart>
      <c:valAx>
        <c:axId val="886450992"/>
        <c:scaling>
          <c:orientation val="minMax"/>
          <c:min val="1.7000000000000002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7577952"/>
        <c:crosses val="autoZero"/>
        <c:crossBetween val="midCat"/>
      </c:valAx>
      <c:valAx>
        <c:axId val="85757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645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44823</xdr:colOff>
      <xdr:row>1</xdr:row>
      <xdr:rowOff>44823</xdr:rowOff>
    </xdr:from>
    <xdr:to>
      <xdr:col>26</xdr:col>
      <xdr:colOff>259773</xdr:colOff>
      <xdr:row>35</xdr:row>
      <xdr:rowOff>138546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7038AA-0D66-4154-9E84-BDD062D07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rgi\Downloads\Especializacion\10.%20Proyecto2\LOCALIZACION%20-%20HUILA.xlsx" TargetMode="External"/><Relationship Id="rId1" Type="http://schemas.openxmlformats.org/officeDocument/2006/relationships/externalLinkPath" Target="LOCALIZACION%20-%20HUI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ALIZACION C.M."/>
      <sheetName val="Coordenadas google earth"/>
    </sheetNames>
    <sheetDataSet>
      <sheetData sheetId="0"/>
      <sheetData sheetId="1">
        <row r="27">
          <cell r="G27" t="str">
            <v>Y</v>
          </cell>
        </row>
        <row r="28">
          <cell r="F28">
            <v>3.3763888888888891</v>
          </cell>
          <cell r="G28">
            <v>-74.802222222222213</v>
          </cell>
        </row>
        <row r="29">
          <cell r="F29">
            <v>3.2219444444444445</v>
          </cell>
          <cell r="G29">
            <v>-75.237222222222229</v>
          </cell>
        </row>
        <row r="30">
          <cell r="F30">
            <v>3.2205555555555558</v>
          </cell>
          <cell r="G30">
            <v>-75.218611111111116</v>
          </cell>
        </row>
        <row r="31">
          <cell r="F31">
            <v>3.1516666666666664</v>
          </cell>
          <cell r="G31">
            <v>-75.05416666666666</v>
          </cell>
        </row>
        <row r="32">
          <cell r="F32">
            <v>3.0672222222222225</v>
          </cell>
          <cell r="G32">
            <v>-75.137777777777785</v>
          </cell>
        </row>
        <row r="33">
          <cell r="F33">
            <v>2.9344444444444449</v>
          </cell>
          <cell r="G33">
            <v>-75.280833333333334</v>
          </cell>
        </row>
        <row r="35">
          <cell r="F35">
            <v>3.1620370370370372</v>
          </cell>
          <cell r="G35">
            <v>-75.121805555555554</v>
          </cell>
        </row>
        <row r="38">
          <cell r="F38">
            <v>2.8861111111111111</v>
          </cell>
          <cell r="G38">
            <v>-75.433055555555555</v>
          </cell>
        </row>
        <row r="39">
          <cell r="F39">
            <v>2.7774999999999999</v>
          </cell>
          <cell r="G39">
            <v>-75.259444444444441</v>
          </cell>
        </row>
        <row r="40">
          <cell r="F40">
            <v>2.6850000000000001</v>
          </cell>
          <cell r="G40">
            <v>-75.326388888888886</v>
          </cell>
        </row>
        <row r="41">
          <cell r="F41">
            <v>2.6641666666666666</v>
          </cell>
          <cell r="G41">
            <v>-75.518333333333331</v>
          </cell>
        </row>
        <row r="42">
          <cell r="F42">
            <v>2.5230555555555556</v>
          </cell>
          <cell r="G42">
            <v>-75.315555555555548</v>
          </cell>
        </row>
        <row r="43">
          <cell r="F43">
            <v>2.4852777777777777</v>
          </cell>
          <cell r="G43">
            <v>-75.727222222222224</v>
          </cell>
        </row>
        <row r="45">
          <cell r="F45">
            <v>2.670185185185185</v>
          </cell>
          <cell r="G45">
            <v>-75.430000000000007</v>
          </cell>
        </row>
        <row r="48">
          <cell r="F48">
            <v>2.3844444444444446</v>
          </cell>
          <cell r="G48">
            <v>-75.542777777777772</v>
          </cell>
        </row>
        <row r="49">
          <cell r="F49">
            <v>2.3888888888888888</v>
          </cell>
          <cell r="G49">
            <v>-75.894166666666678</v>
          </cell>
        </row>
        <row r="50">
          <cell r="F50">
            <v>2.1952777777777777</v>
          </cell>
          <cell r="G50">
            <v>-75.627222222222215</v>
          </cell>
        </row>
        <row r="51">
          <cell r="F51">
            <v>2.1130555555555555</v>
          </cell>
          <cell r="G51">
            <v>-75.825000000000003</v>
          </cell>
        </row>
        <row r="52">
          <cell r="F52">
            <v>1.9741666666666668</v>
          </cell>
          <cell r="G52">
            <v>-75.932777777777787</v>
          </cell>
        </row>
        <row r="53">
          <cell r="F53">
            <v>1.9302777777777775</v>
          </cell>
          <cell r="G53">
            <v>-76.215277777777786</v>
          </cell>
        </row>
        <row r="54">
          <cell r="F54">
            <v>1.8561111111111113</v>
          </cell>
          <cell r="G54">
            <v>-76.046111111111102</v>
          </cell>
        </row>
        <row r="56">
          <cell r="F56">
            <v>2.1203174603174602</v>
          </cell>
          <cell r="G56">
            <v>-75.869047619047606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3FBF-ECC5-4161-ADE1-EB0C2F4062C8}">
  <dimension ref="A1:B21"/>
  <sheetViews>
    <sheetView showGridLines="0" workbookViewId="0">
      <selection activeCell="D8" sqref="D8"/>
    </sheetView>
  </sheetViews>
  <sheetFormatPr baseColWidth="10" defaultRowHeight="15" x14ac:dyDescent="0.25"/>
  <cols>
    <col min="1" max="1" width="14.140625" style="4" customWidth="1"/>
    <col min="2" max="2" width="15.42578125" style="4" bestFit="1" customWidth="1"/>
    <col min="3" max="16384" width="11.42578125" style="4"/>
  </cols>
  <sheetData>
    <row r="1" spans="1:2" x14ac:dyDescent="0.25">
      <c r="A1" s="33" t="s">
        <v>284</v>
      </c>
      <c r="B1" s="34" t="s">
        <v>283</v>
      </c>
    </row>
    <row r="2" spans="1:2" x14ac:dyDescent="0.25">
      <c r="A2" s="35">
        <v>1</v>
      </c>
      <c r="B2" s="36" t="s">
        <v>12</v>
      </c>
    </row>
    <row r="3" spans="1:2" x14ac:dyDescent="0.25">
      <c r="A3" s="35">
        <v>2</v>
      </c>
      <c r="B3" s="36" t="s">
        <v>13</v>
      </c>
    </row>
    <row r="4" spans="1:2" x14ac:dyDescent="0.25">
      <c r="A4" s="35">
        <v>3</v>
      </c>
      <c r="B4" s="36" t="s">
        <v>14</v>
      </c>
    </row>
    <row r="5" spans="1:2" x14ac:dyDescent="0.25">
      <c r="A5" s="35">
        <v>4</v>
      </c>
      <c r="B5" s="36" t="s">
        <v>15</v>
      </c>
    </row>
    <row r="6" spans="1:2" x14ac:dyDescent="0.25">
      <c r="A6" s="35">
        <v>5</v>
      </c>
      <c r="B6" s="36" t="s">
        <v>16</v>
      </c>
    </row>
    <row r="7" spans="1:2" x14ac:dyDescent="0.25">
      <c r="A7" s="35">
        <v>6</v>
      </c>
      <c r="B7" s="36" t="s">
        <v>0</v>
      </c>
    </row>
    <row r="8" spans="1:2" x14ac:dyDescent="0.25">
      <c r="A8" s="35">
        <v>7</v>
      </c>
      <c r="B8" s="36" t="s">
        <v>1</v>
      </c>
    </row>
    <row r="9" spans="1:2" x14ac:dyDescent="0.25">
      <c r="A9" s="35">
        <v>8</v>
      </c>
      <c r="B9" s="36" t="s">
        <v>17</v>
      </c>
    </row>
    <row r="10" spans="1:2" x14ac:dyDescent="0.25">
      <c r="A10" s="35">
        <v>9</v>
      </c>
      <c r="B10" s="36" t="s">
        <v>18</v>
      </c>
    </row>
    <row r="11" spans="1:2" x14ac:dyDescent="0.25">
      <c r="A11" s="35">
        <v>10</v>
      </c>
      <c r="B11" s="36" t="s">
        <v>2</v>
      </c>
    </row>
    <row r="12" spans="1:2" x14ac:dyDescent="0.25">
      <c r="A12" s="35">
        <v>11</v>
      </c>
      <c r="B12" s="36" t="s">
        <v>3</v>
      </c>
    </row>
    <row r="13" spans="1:2" x14ac:dyDescent="0.25">
      <c r="A13" s="35">
        <v>12</v>
      </c>
      <c r="B13" s="36" t="s">
        <v>4</v>
      </c>
    </row>
    <row r="14" spans="1:2" x14ac:dyDescent="0.25">
      <c r="A14" s="35">
        <v>13</v>
      </c>
      <c r="B14" s="36" t="s">
        <v>5</v>
      </c>
    </row>
    <row r="15" spans="1:2" x14ac:dyDescent="0.25">
      <c r="A15" s="35">
        <v>14</v>
      </c>
      <c r="B15" s="36" t="s">
        <v>19</v>
      </c>
    </row>
    <row r="16" spans="1:2" x14ac:dyDescent="0.25">
      <c r="A16" s="35">
        <v>15</v>
      </c>
      <c r="B16" s="36" t="s">
        <v>6</v>
      </c>
    </row>
    <row r="17" spans="1:2" x14ac:dyDescent="0.25">
      <c r="A17" s="35">
        <v>16</v>
      </c>
      <c r="B17" s="36" t="s">
        <v>7</v>
      </c>
    </row>
    <row r="18" spans="1:2" x14ac:dyDescent="0.25">
      <c r="A18" s="35">
        <v>17</v>
      </c>
      <c r="B18" s="36" t="s">
        <v>8</v>
      </c>
    </row>
    <row r="19" spans="1:2" x14ac:dyDescent="0.25">
      <c r="A19" s="35">
        <v>18</v>
      </c>
      <c r="B19" s="36" t="s">
        <v>9</v>
      </c>
    </row>
    <row r="20" spans="1:2" x14ac:dyDescent="0.25">
      <c r="A20" s="35">
        <v>19</v>
      </c>
      <c r="B20" s="36" t="s">
        <v>10</v>
      </c>
    </row>
    <row r="21" spans="1:2" x14ac:dyDescent="0.25">
      <c r="A21" s="37">
        <v>20</v>
      </c>
      <c r="B21" s="3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C776-B1C1-4C4A-AC60-27C4166DE4B1}">
  <dimension ref="A1:B22"/>
  <sheetViews>
    <sheetView showGridLines="0" workbookViewId="0">
      <selection activeCell="F7" sqref="F7"/>
    </sheetView>
  </sheetViews>
  <sheetFormatPr baseColWidth="10" defaultRowHeight="15" x14ac:dyDescent="0.25"/>
  <cols>
    <col min="1" max="1" width="56.5703125" style="4" bestFit="1" customWidth="1"/>
    <col min="2" max="2" width="43.5703125" style="4" bestFit="1" customWidth="1"/>
    <col min="3" max="16384" width="11.42578125" style="4"/>
  </cols>
  <sheetData>
    <row r="1" spans="1:2" x14ac:dyDescent="0.25">
      <c r="A1" s="33" t="s">
        <v>284</v>
      </c>
      <c r="B1" s="34" t="s">
        <v>283</v>
      </c>
    </row>
    <row r="2" spans="1:2" x14ac:dyDescent="0.25">
      <c r="A2" s="35" t="s">
        <v>20</v>
      </c>
      <c r="B2" s="36" t="s">
        <v>41</v>
      </c>
    </row>
    <row r="3" spans="1:2" x14ac:dyDescent="0.25">
      <c r="A3" s="35" t="s">
        <v>21</v>
      </c>
      <c r="B3" s="36" t="s">
        <v>59</v>
      </c>
    </row>
    <row r="4" spans="1:2" x14ac:dyDescent="0.25">
      <c r="A4" s="35" t="s">
        <v>22</v>
      </c>
      <c r="B4" s="36" t="s">
        <v>58</v>
      </c>
    </row>
    <row r="5" spans="1:2" x14ac:dyDescent="0.25">
      <c r="A5" s="35" t="s">
        <v>23</v>
      </c>
      <c r="B5" s="36" t="s">
        <v>57</v>
      </c>
    </row>
    <row r="6" spans="1:2" x14ac:dyDescent="0.25">
      <c r="A6" s="35" t="s">
        <v>24</v>
      </c>
      <c r="B6" s="36" t="s">
        <v>56</v>
      </c>
    </row>
    <row r="7" spans="1:2" x14ac:dyDescent="0.25">
      <c r="A7" s="35" t="s">
        <v>25</v>
      </c>
      <c r="B7" s="36" t="s">
        <v>55</v>
      </c>
    </row>
    <row r="8" spans="1:2" x14ac:dyDescent="0.25">
      <c r="A8" s="35" t="s">
        <v>26</v>
      </c>
      <c r="B8" s="36" t="s">
        <v>54</v>
      </c>
    </row>
    <row r="9" spans="1:2" x14ac:dyDescent="0.25">
      <c r="A9" s="35" t="s">
        <v>27</v>
      </c>
      <c r="B9" s="36" t="s">
        <v>53</v>
      </c>
    </row>
    <row r="10" spans="1:2" x14ac:dyDescent="0.25">
      <c r="A10" s="35" t="s">
        <v>28</v>
      </c>
      <c r="B10" s="36" t="s">
        <v>28</v>
      </c>
    </row>
    <row r="11" spans="1:2" x14ac:dyDescent="0.25">
      <c r="A11" s="35" t="s">
        <v>29</v>
      </c>
      <c r="B11" s="36" t="s">
        <v>52</v>
      </c>
    </row>
    <row r="12" spans="1:2" x14ac:dyDescent="0.25">
      <c r="A12" s="35" t="s">
        <v>30</v>
      </c>
      <c r="B12" s="36" t="s">
        <v>51</v>
      </c>
    </row>
    <row r="13" spans="1:2" x14ac:dyDescent="0.25">
      <c r="A13" s="35" t="s">
        <v>31</v>
      </c>
      <c r="B13" s="36" t="s">
        <v>50</v>
      </c>
    </row>
    <row r="14" spans="1:2" x14ac:dyDescent="0.25">
      <c r="A14" s="35" t="s">
        <v>32</v>
      </c>
      <c r="B14" s="36" t="s">
        <v>49</v>
      </c>
    </row>
    <row r="15" spans="1:2" x14ac:dyDescent="0.25">
      <c r="A15" s="35" t="s">
        <v>33</v>
      </c>
      <c r="B15" s="36" t="s">
        <v>48</v>
      </c>
    </row>
    <row r="16" spans="1:2" x14ac:dyDescent="0.25">
      <c r="A16" s="35" t="s">
        <v>34</v>
      </c>
      <c r="B16" s="36" t="s">
        <v>34</v>
      </c>
    </row>
    <row r="17" spans="1:2" x14ac:dyDescent="0.25">
      <c r="A17" s="35" t="s">
        <v>35</v>
      </c>
      <c r="B17" s="36" t="s">
        <v>47</v>
      </c>
    </row>
    <row r="18" spans="1:2" x14ac:dyDescent="0.25">
      <c r="A18" s="35" t="s">
        <v>36</v>
      </c>
      <c r="B18" s="36" t="s">
        <v>46</v>
      </c>
    </row>
    <row r="19" spans="1:2" x14ac:dyDescent="0.25">
      <c r="A19" s="35" t="s">
        <v>37</v>
      </c>
      <c r="B19" s="36" t="s">
        <v>45</v>
      </c>
    </row>
    <row r="20" spans="1:2" x14ac:dyDescent="0.25">
      <c r="A20" s="35" t="s">
        <v>38</v>
      </c>
      <c r="B20" s="36" t="s">
        <v>44</v>
      </c>
    </row>
    <row r="21" spans="1:2" x14ac:dyDescent="0.25">
      <c r="A21" s="35" t="s">
        <v>39</v>
      </c>
      <c r="B21" s="36" t="s">
        <v>43</v>
      </c>
    </row>
    <row r="22" spans="1:2" x14ac:dyDescent="0.25">
      <c r="A22" s="37" t="s">
        <v>40</v>
      </c>
      <c r="B22" s="38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6F12-84B0-4968-ABDA-0CB247690D8D}">
  <dimension ref="A1:N102"/>
  <sheetViews>
    <sheetView zoomScale="55" zoomScaleNormal="55" workbookViewId="0">
      <selection activeCell="I2" sqref="I2"/>
    </sheetView>
  </sheetViews>
  <sheetFormatPr baseColWidth="10" defaultRowHeight="15" x14ac:dyDescent="0.25"/>
  <cols>
    <col min="1" max="1" width="33.85546875" bestFit="1" customWidth="1"/>
    <col min="2" max="2" width="39.5703125" bestFit="1" customWidth="1"/>
    <col min="3" max="3" width="16.140625" customWidth="1"/>
    <col min="4" max="4" width="22.140625" customWidth="1"/>
    <col min="6" max="7" width="11.42578125" style="4"/>
    <col min="8" max="8" width="30.7109375" style="4" customWidth="1"/>
    <col min="9" max="11" width="11.42578125" style="4"/>
    <col min="12" max="12" width="11.5703125" style="4" bestFit="1" customWidth="1"/>
    <col min="13" max="13" width="13.140625" style="4" bestFit="1" customWidth="1"/>
    <col min="14" max="14" width="11.42578125" style="4"/>
  </cols>
  <sheetData>
    <row r="1" spans="1:14" ht="15.75" x14ac:dyDescent="0.25">
      <c r="F1" s="28"/>
      <c r="G1" s="29" t="s">
        <v>248</v>
      </c>
      <c r="H1" s="30"/>
      <c r="I1" s="28"/>
      <c r="J1" s="29" t="s">
        <v>249</v>
      </c>
      <c r="K1" s="30"/>
      <c r="L1" s="31" t="s">
        <v>248</v>
      </c>
      <c r="M1" s="31" t="s">
        <v>249</v>
      </c>
    </row>
    <row r="2" spans="1:14" ht="15.75" x14ac:dyDescent="0.25">
      <c r="A2" s="17" t="s">
        <v>62</v>
      </c>
      <c r="B2" s="17" t="s">
        <v>63</v>
      </c>
      <c r="C2" s="17" t="s">
        <v>68</v>
      </c>
      <c r="D2" s="17" t="s">
        <v>64</v>
      </c>
      <c r="E2" s="17" t="s">
        <v>74</v>
      </c>
      <c r="F2" s="2" t="s">
        <v>250</v>
      </c>
      <c r="G2" s="2" t="s">
        <v>251</v>
      </c>
      <c r="H2" s="2" t="s">
        <v>252</v>
      </c>
      <c r="I2" s="2" t="s">
        <v>250</v>
      </c>
      <c r="J2" s="2" t="s">
        <v>251</v>
      </c>
      <c r="K2" s="2" t="s">
        <v>252</v>
      </c>
      <c r="L2" s="1" t="s">
        <v>253</v>
      </c>
      <c r="M2" s="1" t="s">
        <v>253</v>
      </c>
      <c r="N2"/>
    </row>
    <row r="3" spans="1:14" ht="15.75" x14ac:dyDescent="0.25">
      <c r="A3" s="18" t="s">
        <v>82</v>
      </c>
      <c r="B3" s="18" t="s">
        <v>254</v>
      </c>
      <c r="C3" s="18" t="s">
        <v>72</v>
      </c>
      <c r="D3" s="18" t="s">
        <v>60</v>
      </c>
      <c r="E3" s="18" t="s">
        <v>0</v>
      </c>
      <c r="F3" s="19">
        <v>4</v>
      </c>
      <c r="G3" s="19">
        <v>33</v>
      </c>
      <c r="H3" s="19">
        <v>44.91</v>
      </c>
      <c r="I3" s="19">
        <v>74</v>
      </c>
      <c r="J3" s="19">
        <v>7</v>
      </c>
      <c r="K3" s="19">
        <v>32.909999999999997</v>
      </c>
      <c r="L3" s="5">
        <f>F3+(G3/60)+(H3/3600)</f>
        <v>4.5624750000000001</v>
      </c>
      <c r="M3" s="5">
        <f>I3+(J3/60)+(K3/3600)</f>
        <v>74.125808333333325</v>
      </c>
    </row>
    <row r="4" spans="1:14" ht="15.75" x14ac:dyDescent="0.25">
      <c r="A4" s="18" t="s">
        <v>81</v>
      </c>
      <c r="B4" s="18" t="s">
        <v>257</v>
      </c>
      <c r="C4" s="18" t="s">
        <v>72</v>
      </c>
      <c r="D4" s="18" t="s">
        <v>60</v>
      </c>
      <c r="E4" s="18" t="s">
        <v>0</v>
      </c>
      <c r="F4" s="19">
        <v>4</v>
      </c>
      <c r="G4" s="19">
        <v>34</v>
      </c>
      <c r="H4" s="19">
        <v>17.14</v>
      </c>
      <c r="I4" s="19">
        <v>74</v>
      </c>
      <c r="J4" s="19">
        <v>7</v>
      </c>
      <c r="K4" s="19">
        <v>41.84</v>
      </c>
      <c r="L4" s="5">
        <f t="shared" ref="L4:L7" si="0">F4+(G4/60)+(H4/3600)</f>
        <v>4.5714277777777772</v>
      </c>
      <c r="M4" s="5">
        <f t="shared" ref="M4:M7" si="1">I4+(J4/60)+(K4/3600)</f>
        <v>74.128288888888889</v>
      </c>
    </row>
    <row r="5" spans="1:14" ht="15.75" x14ac:dyDescent="0.25">
      <c r="A5" s="18" t="s">
        <v>80</v>
      </c>
      <c r="B5" s="18" t="s">
        <v>256</v>
      </c>
      <c r="C5" s="18" t="s">
        <v>72</v>
      </c>
      <c r="D5" s="18" t="s">
        <v>60</v>
      </c>
      <c r="E5" s="18" t="s">
        <v>84</v>
      </c>
      <c r="F5" s="19">
        <v>4</v>
      </c>
      <c r="G5" s="19">
        <v>33</v>
      </c>
      <c r="H5" s="19">
        <v>34.39</v>
      </c>
      <c r="I5" s="19">
        <v>74</v>
      </c>
      <c r="J5" s="19">
        <v>8</v>
      </c>
      <c r="K5" s="19">
        <v>19.329999999999998</v>
      </c>
      <c r="L5" s="5">
        <f t="shared" si="0"/>
        <v>4.5595527777777773</v>
      </c>
      <c r="M5" s="5">
        <f t="shared" si="1"/>
        <v>74.13870277777778</v>
      </c>
    </row>
    <row r="6" spans="1:14" ht="15.75" x14ac:dyDescent="0.25">
      <c r="A6" s="18" t="s">
        <v>85</v>
      </c>
      <c r="B6" s="18" t="s">
        <v>255</v>
      </c>
      <c r="C6" s="18" t="s">
        <v>72</v>
      </c>
      <c r="D6" s="18" t="s">
        <v>60</v>
      </c>
      <c r="E6" s="18" t="s">
        <v>84</v>
      </c>
      <c r="F6" s="19">
        <v>4</v>
      </c>
      <c r="G6" s="19">
        <v>33</v>
      </c>
      <c r="H6" s="19">
        <v>7.72</v>
      </c>
      <c r="I6" s="19">
        <v>74</v>
      </c>
      <c r="J6" s="19">
        <v>8</v>
      </c>
      <c r="K6" s="19">
        <v>41.38</v>
      </c>
      <c r="L6" s="5">
        <f t="shared" si="0"/>
        <v>4.5521444444444441</v>
      </c>
      <c r="M6" s="5">
        <f t="shared" si="1"/>
        <v>74.144827777777778</v>
      </c>
    </row>
    <row r="7" spans="1:14" ht="15.75" x14ac:dyDescent="0.25">
      <c r="A7" s="18" t="s">
        <v>79</v>
      </c>
      <c r="B7" s="18" t="s">
        <v>83</v>
      </c>
      <c r="C7" s="18" t="s">
        <v>72</v>
      </c>
      <c r="D7" s="18" t="s">
        <v>60</v>
      </c>
      <c r="E7" s="18" t="s">
        <v>84</v>
      </c>
      <c r="F7" s="19">
        <v>4</v>
      </c>
      <c r="G7" s="19">
        <v>32</v>
      </c>
      <c r="H7" s="19">
        <v>42.12</v>
      </c>
      <c r="I7" s="19">
        <v>74</v>
      </c>
      <c r="J7" s="19">
        <v>8</v>
      </c>
      <c r="K7" s="19">
        <v>47.78</v>
      </c>
      <c r="L7" s="5">
        <f t="shared" si="0"/>
        <v>4.5450333333333335</v>
      </c>
      <c r="M7" s="5">
        <f t="shared" si="1"/>
        <v>74.146605555555567</v>
      </c>
    </row>
    <row r="8" spans="1:14" ht="15.75" x14ac:dyDescent="0.25">
      <c r="A8" s="18" t="s">
        <v>75</v>
      </c>
      <c r="B8" s="18" t="s">
        <v>76</v>
      </c>
      <c r="C8" s="18" t="s">
        <v>73</v>
      </c>
      <c r="D8" s="18" t="s">
        <v>60</v>
      </c>
      <c r="E8" s="18" t="s">
        <v>0</v>
      </c>
      <c r="F8" s="18"/>
      <c r="G8" s="18"/>
      <c r="H8" s="18"/>
      <c r="I8" s="18"/>
      <c r="J8" s="18"/>
      <c r="K8" s="18"/>
      <c r="L8" s="1"/>
      <c r="M8" s="1"/>
      <c r="N8"/>
    </row>
    <row r="9" spans="1:14" ht="15.75" x14ac:dyDescent="0.25">
      <c r="A9" s="18" t="s">
        <v>77</v>
      </c>
      <c r="B9" s="18" t="s">
        <v>78</v>
      </c>
      <c r="C9" s="18" t="s">
        <v>73</v>
      </c>
      <c r="D9" s="18" t="s">
        <v>60</v>
      </c>
      <c r="E9" s="18" t="s">
        <v>0</v>
      </c>
      <c r="F9" s="18"/>
      <c r="G9" s="18"/>
      <c r="H9" s="18"/>
      <c r="I9" s="18"/>
      <c r="J9" s="18"/>
      <c r="K9" s="18"/>
      <c r="L9" s="1"/>
      <c r="M9" s="1"/>
      <c r="N9"/>
    </row>
    <row r="10" spans="1:14" ht="15.75" x14ac:dyDescent="0.25">
      <c r="A10" s="18" t="s">
        <v>86</v>
      </c>
      <c r="B10" s="18" t="s">
        <v>87</v>
      </c>
      <c r="C10" s="18" t="s">
        <v>73</v>
      </c>
      <c r="D10" s="18" t="s">
        <v>60</v>
      </c>
      <c r="E10" s="18" t="s">
        <v>84</v>
      </c>
      <c r="F10" s="18"/>
      <c r="G10" s="18"/>
      <c r="H10" s="18"/>
      <c r="I10" s="18"/>
      <c r="J10" s="18"/>
      <c r="K10" s="18"/>
      <c r="L10" s="1"/>
      <c r="M10" s="1"/>
      <c r="N10"/>
    </row>
    <row r="11" spans="1:14" ht="15.75" x14ac:dyDescent="0.25">
      <c r="A11" s="18" t="s">
        <v>88</v>
      </c>
      <c r="B11" s="18" t="s">
        <v>89</v>
      </c>
      <c r="C11" s="18" t="s">
        <v>73</v>
      </c>
      <c r="D11" s="18" t="s">
        <v>60</v>
      </c>
      <c r="E11" s="18" t="s">
        <v>84</v>
      </c>
      <c r="F11" s="18"/>
      <c r="G11" s="18"/>
      <c r="H11" s="18"/>
      <c r="I11" s="18"/>
      <c r="J11" s="18"/>
      <c r="K11" s="18"/>
      <c r="L11" s="1"/>
      <c r="M11" s="1"/>
      <c r="N11"/>
    </row>
    <row r="12" spans="1:14" ht="15.75" x14ac:dyDescent="0.25">
      <c r="A12" s="18" t="s">
        <v>90</v>
      </c>
      <c r="B12" s="18" t="s">
        <v>91</v>
      </c>
      <c r="C12" s="18" t="s">
        <v>73</v>
      </c>
      <c r="D12" s="18" t="s">
        <v>60</v>
      </c>
      <c r="E12" s="18" t="s">
        <v>84</v>
      </c>
      <c r="F12" s="18"/>
      <c r="G12" s="18"/>
      <c r="H12" s="18"/>
      <c r="I12" s="18"/>
      <c r="J12" s="18"/>
      <c r="K12" s="18"/>
      <c r="L12" s="1"/>
      <c r="M12" s="1"/>
      <c r="N12"/>
    </row>
    <row r="13" spans="1:14" ht="15.75" x14ac:dyDescent="0.25">
      <c r="A13" s="18" t="s">
        <v>92</v>
      </c>
      <c r="B13" s="18" t="s">
        <v>93</v>
      </c>
      <c r="C13" s="18" t="s">
        <v>73</v>
      </c>
      <c r="D13" s="18" t="s">
        <v>60</v>
      </c>
      <c r="E13" s="18" t="s">
        <v>84</v>
      </c>
      <c r="F13" s="18"/>
      <c r="G13" s="18"/>
      <c r="H13" s="18"/>
      <c r="I13" s="18"/>
      <c r="J13" s="18"/>
      <c r="K13" s="18"/>
      <c r="L13" s="1"/>
      <c r="M13" s="1"/>
      <c r="N13"/>
    </row>
    <row r="14" spans="1:14" ht="15.75" x14ac:dyDescent="0.25">
      <c r="A14" s="18" t="s">
        <v>94</v>
      </c>
      <c r="B14" s="18" t="s">
        <v>95</v>
      </c>
      <c r="C14" s="18" t="s">
        <v>73</v>
      </c>
      <c r="D14" s="18" t="s">
        <v>60</v>
      </c>
      <c r="E14" s="18" t="s">
        <v>84</v>
      </c>
      <c r="F14" s="18"/>
      <c r="G14" s="18"/>
      <c r="H14" s="18"/>
      <c r="I14" s="18"/>
      <c r="J14" s="18"/>
      <c r="K14" s="18"/>
      <c r="L14" s="1"/>
      <c r="M14" s="1"/>
      <c r="N14"/>
    </row>
    <row r="15" spans="1:14" ht="15.75" x14ac:dyDescent="0.25">
      <c r="A15" s="18" t="s">
        <v>96</v>
      </c>
      <c r="B15" s="18" t="s">
        <v>97</v>
      </c>
      <c r="C15" s="18" t="s">
        <v>73</v>
      </c>
      <c r="D15" s="18" t="s">
        <v>60</v>
      </c>
      <c r="E15" s="18" t="s">
        <v>16</v>
      </c>
      <c r="F15" s="18"/>
      <c r="G15" s="18"/>
      <c r="H15" s="18"/>
      <c r="I15" s="18"/>
      <c r="J15" s="18"/>
      <c r="K15" s="18"/>
      <c r="L15" s="1"/>
      <c r="M15" s="1"/>
      <c r="N15"/>
    </row>
    <row r="16" spans="1:14" ht="15.75" x14ac:dyDescent="0.25">
      <c r="A16" s="18" t="s">
        <v>98</v>
      </c>
      <c r="B16" s="18" t="s">
        <v>99</v>
      </c>
      <c r="C16" s="18" t="s">
        <v>73</v>
      </c>
      <c r="D16" s="18" t="s">
        <v>60</v>
      </c>
      <c r="E16" s="18" t="s">
        <v>16</v>
      </c>
      <c r="F16" s="18"/>
      <c r="G16" s="18"/>
      <c r="H16" s="18"/>
      <c r="I16" s="18"/>
      <c r="J16" s="18"/>
      <c r="K16" s="18"/>
      <c r="L16" s="1"/>
      <c r="M16" s="1"/>
      <c r="N16"/>
    </row>
    <row r="17" spans="1:14" ht="15.75" x14ac:dyDescent="0.25">
      <c r="A17" s="18" t="s">
        <v>100</v>
      </c>
      <c r="B17" s="18" t="s">
        <v>101</v>
      </c>
      <c r="C17" s="18" t="s">
        <v>73</v>
      </c>
      <c r="D17" s="18" t="s">
        <v>60</v>
      </c>
      <c r="E17" s="18" t="s">
        <v>16</v>
      </c>
      <c r="F17" s="18"/>
      <c r="G17" s="18"/>
      <c r="H17" s="18"/>
      <c r="I17" s="18"/>
      <c r="J17" s="18"/>
      <c r="K17" s="18"/>
      <c r="L17" s="1"/>
      <c r="M17" s="1"/>
      <c r="N17"/>
    </row>
    <row r="18" spans="1:14" ht="15.75" x14ac:dyDescent="0.25">
      <c r="A18" s="18" t="s">
        <v>102</v>
      </c>
      <c r="B18" s="18" t="s">
        <v>103</v>
      </c>
      <c r="C18" s="18" t="s">
        <v>73</v>
      </c>
      <c r="D18" s="18" t="s">
        <v>60</v>
      </c>
      <c r="E18" s="18" t="s">
        <v>16</v>
      </c>
      <c r="F18" s="18"/>
      <c r="G18" s="18"/>
      <c r="H18" s="18"/>
      <c r="I18" s="18"/>
      <c r="J18" s="18"/>
      <c r="K18" s="18"/>
      <c r="L18" s="1"/>
      <c r="M18" s="1"/>
      <c r="N18"/>
    </row>
    <row r="19" spans="1:14" ht="15.75" x14ac:dyDescent="0.25">
      <c r="A19" s="18" t="s">
        <v>104</v>
      </c>
      <c r="B19" s="18" t="s">
        <v>105</v>
      </c>
      <c r="C19" s="18" t="s">
        <v>73</v>
      </c>
      <c r="D19" s="18" t="s">
        <v>60</v>
      </c>
      <c r="E19" s="18" t="s">
        <v>16</v>
      </c>
      <c r="F19" s="18"/>
      <c r="G19" s="18"/>
      <c r="H19" s="18"/>
      <c r="I19" s="18"/>
      <c r="J19" s="18"/>
      <c r="K19" s="18"/>
      <c r="L19" s="1"/>
      <c r="M19" s="1"/>
      <c r="N19"/>
    </row>
    <row r="20" spans="1:14" ht="15.75" x14ac:dyDescent="0.25">
      <c r="A20" s="18" t="s">
        <v>107</v>
      </c>
      <c r="B20" s="18" t="s">
        <v>106</v>
      </c>
      <c r="C20" s="18" t="s">
        <v>73</v>
      </c>
      <c r="D20" s="18" t="s">
        <v>60</v>
      </c>
      <c r="E20" s="18" t="s">
        <v>16</v>
      </c>
      <c r="F20" s="18"/>
      <c r="G20" s="18"/>
      <c r="H20" s="18"/>
      <c r="I20" s="18"/>
      <c r="J20" s="18"/>
      <c r="K20" s="18"/>
      <c r="L20" s="1"/>
      <c r="M20" s="1"/>
      <c r="N20"/>
    </row>
    <row r="21" spans="1:14" ht="15.75" x14ac:dyDescent="0.25">
      <c r="A21" s="18" t="s">
        <v>108</v>
      </c>
      <c r="B21" s="18" t="s">
        <v>109</v>
      </c>
      <c r="C21" s="18" t="s">
        <v>73</v>
      </c>
      <c r="D21" s="18" t="s">
        <v>60</v>
      </c>
      <c r="E21" s="18" t="s">
        <v>16</v>
      </c>
      <c r="F21" s="18"/>
      <c r="G21" s="18"/>
      <c r="H21" s="18"/>
      <c r="I21" s="18"/>
      <c r="J21" s="18"/>
      <c r="K21" s="18"/>
      <c r="L21" s="1"/>
      <c r="M21" s="1"/>
      <c r="N21"/>
    </row>
    <row r="22" spans="1:14" ht="15.75" x14ac:dyDescent="0.25">
      <c r="A22" s="18" t="s">
        <v>110</v>
      </c>
      <c r="B22" s="18" t="s">
        <v>111</v>
      </c>
      <c r="C22" s="18" t="s">
        <v>73</v>
      </c>
      <c r="D22" s="18" t="s">
        <v>60</v>
      </c>
      <c r="E22" s="18" t="s">
        <v>16</v>
      </c>
      <c r="F22" s="18"/>
      <c r="G22" s="18"/>
      <c r="H22" s="18"/>
      <c r="I22" s="18"/>
      <c r="J22" s="18"/>
      <c r="K22" s="18"/>
      <c r="L22" s="1"/>
      <c r="M22" s="1"/>
      <c r="N22"/>
    </row>
    <row r="23" spans="1:14" ht="30" x14ac:dyDescent="0.25">
      <c r="A23" s="18" t="s">
        <v>112</v>
      </c>
      <c r="B23" s="32" t="s">
        <v>113</v>
      </c>
      <c r="C23" s="18" t="s">
        <v>73</v>
      </c>
      <c r="D23" s="18" t="s">
        <v>60</v>
      </c>
      <c r="E23" s="18" t="s">
        <v>11</v>
      </c>
      <c r="F23" s="18"/>
      <c r="G23" s="18"/>
      <c r="H23" s="18"/>
      <c r="I23" s="18"/>
      <c r="J23" s="18"/>
      <c r="K23" s="18"/>
      <c r="L23" s="1"/>
      <c r="M23" s="1"/>
      <c r="N23"/>
    </row>
    <row r="24" spans="1:14" ht="15.75" x14ac:dyDescent="0.25">
      <c r="A24" s="18" t="s">
        <v>114</v>
      </c>
      <c r="B24" s="18" t="s">
        <v>115</v>
      </c>
      <c r="C24" s="18" t="s">
        <v>73</v>
      </c>
      <c r="D24" s="18" t="s">
        <v>60</v>
      </c>
      <c r="E24" s="18" t="s">
        <v>11</v>
      </c>
      <c r="F24" s="18"/>
      <c r="G24" s="18"/>
      <c r="H24" s="18"/>
      <c r="I24" s="18"/>
      <c r="J24" s="18"/>
      <c r="K24" s="18"/>
      <c r="L24" s="1"/>
      <c r="M24" s="1"/>
      <c r="N24"/>
    </row>
    <row r="25" spans="1:14" ht="15.75" x14ac:dyDescent="0.25">
      <c r="A25" s="18" t="s">
        <v>120</v>
      </c>
      <c r="B25" s="18" t="s">
        <v>258</v>
      </c>
      <c r="C25" s="18" t="s">
        <v>72</v>
      </c>
      <c r="D25" s="18" t="s">
        <v>61</v>
      </c>
      <c r="E25" s="18" t="s">
        <v>244</v>
      </c>
      <c r="F25" s="19">
        <v>4</v>
      </c>
      <c r="G25" s="19">
        <v>35</v>
      </c>
      <c r="H25" s="19">
        <v>28.7</v>
      </c>
      <c r="I25" s="19">
        <v>74</v>
      </c>
      <c r="J25" s="19">
        <v>5</v>
      </c>
      <c r="K25" s="19">
        <v>31.22</v>
      </c>
      <c r="L25" s="5">
        <f t="shared" ref="L25:L29" si="2">F25+(G25/60)+(H25/3600)</f>
        <v>4.5913055555555555</v>
      </c>
      <c r="M25" s="5">
        <f t="shared" ref="M25:M29" si="3">I25+(J25/60)+(K25/3600)</f>
        <v>74.092005555555545</v>
      </c>
    </row>
    <row r="26" spans="1:14" ht="15.75" x14ac:dyDescent="0.25">
      <c r="A26" s="18" t="s">
        <v>66</v>
      </c>
      <c r="B26" s="18" t="s">
        <v>121</v>
      </c>
      <c r="C26" s="18" t="s">
        <v>72</v>
      </c>
      <c r="D26" s="18" t="s">
        <v>61</v>
      </c>
      <c r="E26" s="18" t="s">
        <v>244</v>
      </c>
      <c r="F26" s="19">
        <v>4</v>
      </c>
      <c r="G26" s="19">
        <v>35</v>
      </c>
      <c r="H26" s="19">
        <v>17.63</v>
      </c>
      <c r="I26" s="19">
        <v>74</v>
      </c>
      <c r="J26" s="19">
        <v>5</v>
      </c>
      <c r="K26" s="19">
        <v>7.42</v>
      </c>
      <c r="L26" s="5">
        <f t="shared" si="2"/>
        <v>4.5882305555555556</v>
      </c>
      <c r="M26" s="5">
        <f t="shared" si="3"/>
        <v>74.085394444444447</v>
      </c>
    </row>
    <row r="27" spans="1:14" ht="15.75" x14ac:dyDescent="0.25">
      <c r="A27" s="18" t="s">
        <v>65</v>
      </c>
      <c r="B27" s="18" t="s">
        <v>259</v>
      </c>
      <c r="C27" s="18" t="s">
        <v>72</v>
      </c>
      <c r="D27" s="18" t="s">
        <v>61</v>
      </c>
      <c r="E27" s="18" t="s">
        <v>247</v>
      </c>
      <c r="F27" s="19">
        <v>4</v>
      </c>
      <c r="G27" s="19">
        <v>35</v>
      </c>
      <c r="H27" s="19">
        <v>23.99</v>
      </c>
      <c r="I27" s="19">
        <v>74</v>
      </c>
      <c r="J27" s="19">
        <v>4</v>
      </c>
      <c r="K27" s="19">
        <v>11.72</v>
      </c>
      <c r="L27" s="5">
        <f t="shared" si="2"/>
        <v>4.5899972222222223</v>
      </c>
      <c r="M27" s="5">
        <f t="shared" si="3"/>
        <v>74.069922222222218</v>
      </c>
    </row>
    <row r="28" spans="1:14" ht="15.75" x14ac:dyDescent="0.25">
      <c r="A28" s="18" t="s">
        <v>67</v>
      </c>
      <c r="B28" s="18" t="s">
        <v>260</v>
      </c>
      <c r="C28" s="18" t="s">
        <v>72</v>
      </c>
      <c r="D28" s="18" t="s">
        <v>61</v>
      </c>
      <c r="E28" s="18" t="s">
        <v>15</v>
      </c>
      <c r="F28" s="19">
        <v>4</v>
      </c>
      <c r="G28" s="19">
        <v>34</v>
      </c>
      <c r="H28" s="19">
        <v>11.05</v>
      </c>
      <c r="I28" s="19">
        <v>74</v>
      </c>
      <c r="J28" s="19">
        <v>5</v>
      </c>
      <c r="K28" s="19">
        <v>0.62</v>
      </c>
      <c r="L28" s="5">
        <f t="shared" si="2"/>
        <v>4.5697361111111112</v>
      </c>
      <c r="M28" s="5">
        <f t="shared" si="3"/>
        <v>74.083505555555547</v>
      </c>
    </row>
    <row r="29" spans="1:14" ht="15.75" x14ac:dyDescent="0.25">
      <c r="A29" s="18" t="s">
        <v>144</v>
      </c>
      <c r="B29" s="18" t="s">
        <v>261</v>
      </c>
      <c r="C29" s="18" t="s">
        <v>72</v>
      </c>
      <c r="D29" s="18" t="s">
        <v>61</v>
      </c>
      <c r="E29" s="18" t="s">
        <v>15</v>
      </c>
      <c r="F29" s="19">
        <v>4</v>
      </c>
      <c r="G29" s="19">
        <v>33</v>
      </c>
      <c r="H29" s="19">
        <v>9.6</v>
      </c>
      <c r="I29" s="19">
        <v>74</v>
      </c>
      <c r="J29" s="19">
        <v>5</v>
      </c>
      <c r="K29" s="19">
        <v>40.47</v>
      </c>
      <c r="L29" s="5">
        <f t="shared" si="2"/>
        <v>4.5526666666666662</v>
      </c>
      <c r="M29" s="5">
        <f t="shared" si="3"/>
        <v>74.094574999999992</v>
      </c>
    </row>
    <row r="30" spans="1:14" ht="15.75" x14ac:dyDescent="0.25">
      <c r="A30" s="18" t="s">
        <v>116</v>
      </c>
      <c r="B30" s="18" t="s">
        <v>117</v>
      </c>
      <c r="C30" s="18" t="s">
        <v>73</v>
      </c>
      <c r="D30" s="18" t="s">
        <v>61</v>
      </c>
      <c r="E30" s="18" t="s">
        <v>15</v>
      </c>
      <c r="F30" s="18"/>
      <c r="G30" s="18"/>
      <c r="H30" s="18"/>
      <c r="I30" s="18"/>
      <c r="J30" s="18"/>
      <c r="K30" s="18"/>
      <c r="L30" s="1"/>
      <c r="M30" s="1"/>
      <c r="N30"/>
    </row>
    <row r="31" spans="1:14" ht="15.75" x14ac:dyDescent="0.25">
      <c r="A31" s="18" t="s">
        <v>118</v>
      </c>
      <c r="B31" s="18" t="s">
        <v>119</v>
      </c>
      <c r="C31" s="18" t="s">
        <v>73</v>
      </c>
      <c r="D31" s="18" t="s">
        <v>61</v>
      </c>
      <c r="E31" s="18" t="s">
        <v>6</v>
      </c>
      <c r="F31" s="18"/>
      <c r="G31" s="18"/>
      <c r="H31" s="18"/>
      <c r="I31" s="18"/>
      <c r="J31" s="18"/>
      <c r="K31" s="18"/>
      <c r="L31" s="1"/>
      <c r="M31" s="1"/>
      <c r="N31"/>
    </row>
    <row r="32" spans="1:14" ht="15.75" x14ac:dyDescent="0.25">
      <c r="A32" s="18" t="s">
        <v>122</v>
      </c>
      <c r="B32" s="18" t="s">
        <v>123</v>
      </c>
      <c r="C32" s="18" t="s">
        <v>73</v>
      </c>
      <c r="D32" s="18" t="s">
        <v>61</v>
      </c>
      <c r="E32" s="18" t="s">
        <v>15</v>
      </c>
      <c r="F32" s="18"/>
      <c r="G32" s="18"/>
      <c r="H32" s="18"/>
      <c r="I32" s="18"/>
      <c r="J32" s="18"/>
      <c r="K32" s="18"/>
      <c r="L32" s="1"/>
      <c r="M32" s="1"/>
      <c r="N32"/>
    </row>
    <row r="33" spans="1:14" ht="15.75" x14ac:dyDescent="0.25">
      <c r="A33" s="18" t="s">
        <v>124</v>
      </c>
      <c r="B33" s="18" t="s">
        <v>125</v>
      </c>
      <c r="C33" s="18" t="s">
        <v>73</v>
      </c>
      <c r="D33" s="18" t="s">
        <v>61</v>
      </c>
      <c r="E33" s="18" t="s">
        <v>15</v>
      </c>
      <c r="F33" s="18"/>
      <c r="G33" s="18"/>
      <c r="H33" s="18"/>
      <c r="I33" s="18"/>
      <c r="J33" s="18"/>
      <c r="K33" s="18"/>
      <c r="L33" s="1"/>
      <c r="M33" s="1"/>
      <c r="N33"/>
    </row>
    <row r="34" spans="1:14" ht="15.75" x14ac:dyDescent="0.25">
      <c r="A34" s="18" t="s">
        <v>126</v>
      </c>
      <c r="B34" s="18" t="s">
        <v>127</v>
      </c>
      <c r="C34" s="18" t="s">
        <v>73</v>
      </c>
      <c r="D34" s="18" t="s">
        <v>61</v>
      </c>
      <c r="E34" s="18" t="s">
        <v>15</v>
      </c>
      <c r="F34" s="18"/>
      <c r="G34" s="18"/>
      <c r="H34" s="18"/>
      <c r="I34" s="18"/>
      <c r="J34" s="18"/>
      <c r="K34" s="18"/>
      <c r="L34" s="1"/>
      <c r="M34" s="1"/>
      <c r="N34"/>
    </row>
    <row r="35" spans="1:14" ht="15.75" x14ac:dyDescent="0.25">
      <c r="A35" s="18" t="s">
        <v>128</v>
      </c>
      <c r="B35" s="18" t="s">
        <v>129</v>
      </c>
      <c r="C35" s="18" t="s">
        <v>73</v>
      </c>
      <c r="D35" s="18" t="s">
        <v>61</v>
      </c>
      <c r="E35" s="18" t="s">
        <v>245</v>
      </c>
      <c r="F35" s="18"/>
      <c r="G35" s="18"/>
      <c r="H35" s="18"/>
      <c r="I35" s="18"/>
      <c r="J35" s="18"/>
      <c r="K35" s="18"/>
      <c r="L35" s="1"/>
      <c r="M35" s="1"/>
      <c r="N35"/>
    </row>
    <row r="36" spans="1:14" ht="15.75" x14ac:dyDescent="0.25">
      <c r="A36" s="18" t="s">
        <v>69</v>
      </c>
      <c r="B36" s="18" t="s">
        <v>130</v>
      </c>
      <c r="C36" s="18" t="s">
        <v>73</v>
      </c>
      <c r="D36" s="18" t="s">
        <v>61</v>
      </c>
      <c r="E36" s="18" t="s">
        <v>246</v>
      </c>
      <c r="F36" s="18"/>
      <c r="G36" s="18"/>
      <c r="H36" s="18"/>
      <c r="I36" s="18"/>
      <c r="J36" s="18"/>
      <c r="K36" s="18"/>
      <c r="L36" s="1"/>
      <c r="M36" s="1"/>
      <c r="N36"/>
    </row>
    <row r="37" spans="1:14" ht="15.75" x14ac:dyDescent="0.25">
      <c r="A37" s="18" t="s">
        <v>70</v>
      </c>
      <c r="B37" s="18" t="s">
        <v>131</v>
      </c>
      <c r="C37" s="18" t="s">
        <v>73</v>
      </c>
      <c r="D37" s="18" t="s">
        <v>61</v>
      </c>
      <c r="E37" s="18" t="s">
        <v>244</v>
      </c>
      <c r="F37" s="18"/>
      <c r="G37" s="18"/>
      <c r="H37" s="18"/>
      <c r="I37" s="18"/>
      <c r="J37" s="18"/>
      <c r="K37" s="18"/>
      <c r="L37" s="1"/>
      <c r="M37" s="1"/>
      <c r="N37"/>
    </row>
    <row r="38" spans="1:14" ht="15.75" x14ac:dyDescent="0.25">
      <c r="A38" s="18" t="s">
        <v>71</v>
      </c>
      <c r="B38" s="18" t="s">
        <v>132</v>
      </c>
      <c r="C38" s="18" t="s">
        <v>73</v>
      </c>
      <c r="D38" s="18" t="s">
        <v>61</v>
      </c>
      <c r="E38" s="18" t="s">
        <v>244</v>
      </c>
      <c r="F38" s="18"/>
      <c r="G38" s="18"/>
      <c r="H38" s="18"/>
      <c r="I38" s="18"/>
      <c r="J38" s="18"/>
      <c r="K38" s="18"/>
      <c r="L38" s="1"/>
      <c r="M38" s="1"/>
      <c r="N38"/>
    </row>
    <row r="39" spans="1:14" ht="15.75" x14ac:dyDescent="0.25">
      <c r="A39" s="18" t="s">
        <v>133</v>
      </c>
      <c r="B39" s="18" t="s">
        <v>134</v>
      </c>
      <c r="C39" s="18" t="s">
        <v>73</v>
      </c>
      <c r="D39" s="18" t="s">
        <v>61</v>
      </c>
      <c r="E39" s="18" t="s">
        <v>244</v>
      </c>
      <c r="F39" s="18"/>
      <c r="G39" s="18"/>
      <c r="H39" s="18"/>
      <c r="I39" s="18"/>
      <c r="J39" s="18"/>
      <c r="K39" s="18"/>
      <c r="L39" s="1"/>
      <c r="M39" s="1"/>
      <c r="N39"/>
    </row>
    <row r="40" spans="1:14" ht="15.75" x14ac:dyDescent="0.25">
      <c r="A40" s="18" t="s">
        <v>135</v>
      </c>
      <c r="B40" s="18" t="s">
        <v>136</v>
      </c>
      <c r="C40" s="18" t="s">
        <v>73</v>
      </c>
      <c r="D40" s="18" t="s">
        <v>61</v>
      </c>
      <c r="E40" s="18" t="s">
        <v>247</v>
      </c>
      <c r="F40" s="18"/>
      <c r="G40" s="18"/>
      <c r="H40" s="18"/>
      <c r="I40" s="18"/>
      <c r="J40" s="18"/>
      <c r="K40" s="18"/>
      <c r="L40" s="1"/>
      <c r="M40" s="1"/>
      <c r="N40"/>
    </row>
    <row r="41" spans="1:14" ht="15.75" x14ac:dyDescent="0.25">
      <c r="A41" s="18" t="s">
        <v>137</v>
      </c>
      <c r="B41" s="18" t="s">
        <v>138</v>
      </c>
      <c r="C41" s="18" t="s">
        <v>73</v>
      </c>
      <c r="D41" s="18" t="s">
        <v>61</v>
      </c>
      <c r="E41" s="18" t="s">
        <v>15</v>
      </c>
      <c r="F41" s="18"/>
      <c r="G41" s="18"/>
      <c r="H41" s="18"/>
      <c r="I41" s="18"/>
      <c r="J41" s="18"/>
      <c r="K41" s="18"/>
      <c r="L41" s="1"/>
      <c r="M41" s="1"/>
      <c r="N41"/>
    </row>
    <row r="42" spans="1:14" ht="15.75" x14ac:dyDescent="0.25">
      <c r="A42" s="18" t="s">
        <v>139</v>
      </c>
      <c r="B42" s="18" t="s">
        <v>140</v>
      </c>
      <c r="C42" s="18" t="s">
        <v>73</v>
      </c>
      <c r="D42" s="18" t="s">
        <v>61</v>
      </c>
      <c r="E42" s="18" t="s">
        <v>245</v>
      </c>
      <c r="F42" s="18"/>
      <c r="G42" s="18"/>
      <c r="H42" s="18"/>
      <c r="I42" s="18"/>
      <c r="J42" s="18"/>
      <c r="K42" s="18"/>
      <c r="L42" s="1"/>
      <c r="M42" s="1"/>
      <c r="N42"/>
    </row>
    <row r="43" spans="1:14" ht="15.75" x14ac:dyDescent="0.25">
      <c r="A43" s="18" t="s">
        <v>141</v>
      </c>
      <c r="B43" s="18" t="s">
        <v>142</v>
      </c>
      <c r="C43" s="18" t="s">
        <v>73</v>
      </c>
      <c r="D43" s="18" t="s">
        <v>61</v>
      </c>
      <c r="E43" s="18" t="s">
        <v>15</v>
      </c>
      <c r="F43" s="18"/>
      <c r="G43" s="18"/>
      <c r="H43" s="18"/>
      <c r="I43" s="18"/>
      <c r="J43" s="18"/>
      <c r="K43" s="18"/>
      <c r="L43" s="1"/>
      <c r="M43" s="1"/>
      <c r="N43"/>
    </row>
    <row r="44" spans="1:14" ht="15.75" x14ac:dyDescent="0.25">
      <c r="A44" s="18" t="s">
        <v>145</v>
      </c>
      <c r="B44" s="18" t="s">
        <v>143</v>
      </c>
      <c r="C44" s="18" t="s">
        <v>73</v>
      </c>
      <c r="D44" s="18" t="s">
        <v>61</v>
      </c>
      <c r="E44" s="18" t="s">
        <v>15</v>
      </c>
      <c r="F44" s="18"/>
      <c r="G44" s="18"/>
      <c r="H44" s="18"/>
      <c r="I44" s="18"/>
      <c r="J44" s="18"/>
      <c r="K44" s="18"/>
      <c r="L44" s="1"/>
      <c r="M44" s="1"/>
      <c r="N44"/>
    </row>
    <row r="45" spans="1:14" ht="15.75" x14ac:dyDescent="0.25">
      <c r="A45" s="18" t="s">
        <v>147</v>
      </c>
      <c r="B45" s="18" t="s">
        <v>148</v>
      </c>
      <c r="C45" s="18" t="s">
        <v>72</v>
      </c>
      <c r="D45" s="18" t="s">
        <v>146</v>
      </c>
      <c r="E45" s="18" t="s">
        <v>1</v>
      </c>
      <c r="F45" s="19">
        <v>4</v>
      </c>
      <c r="G45" s="19">
        <v>38</v>
      </c>
      <c r="H45" s="19">
        <v>5.72</v>
      </c>
      <c r="I45" s="19">
        <v>74</v>
      </c>
      <c r="J45" s="19">
        <v>12</v>
      </c>
      <c r="K45" s="19">
        <v>21.83</v>
      </c>
      <c r="L45" s="5">
        <f>F45+(G45/60)+(H45/3600)</f>
        <v>4.6349222222222215</v>
      </c>
      <c r="M45" s="5">
        <f>I45+(J45/60)+(K45/3600)</f>
        <v>74.206063888888892</v>
      </c>
    </row>
    <row r="46" spans="1:14" ht="15.75" x14ac:dyDescent="0.25">
      <c r="A46" s="18" t="s">
        <v>149</v>
      </c>
      <c r="B46" s="18" t="s">
        <v>150</v>
      </c>
      <c r="C46" s="18" t="s">
        <v>73</v>
      </c>
      <c r="D46" s="18" t="s">
        <v>146</v>
      </c>
      <c r="E46" s="18" t="s">
        <v>1</v>
      </c>
      <c r="F46" s="18"/>
      <c r="G46" s="18"/>
      <c r="H46" s="18"/>
      <c r="I46" s="18"/>
      <c r="J46" s="18"/>
      <c r="K46" s="18"/>
      <c r="L46" s="1"/>
      <c r="M46" s="1"/>
      <c r="N46"/>
    </row>
    <row r="47" spans="1:14" ht="15.75" x14ac:dyDescent="0.25">
      <c r="A47" s="18" t="s">
        <v>151</v>
      </c>
      <c r="B47" s="18" t="s">
        <v>152</v>
      </c>
      <c r="C47" s="18" t="s">
        <v>73</v>
      </c>
      <c r="D47" s="18" t="s">
        <v>146</v>
      </c>
      <c r="E47" s="18" t="s">
        <v>1</v>
      </c>
      <c r="F47" s="18"/>
      <c r="G47" s="18"/>
      <c r="H47" s="18"/>
      <c r="I47" s="18"/>
      <c r="J47" s="18"/>
      <c r="K47" s="18"/>
      <c r="L47" s="1"/>
      <c r="M47" s="1"/>
      <c r="N47"/>
    </row>
    <row r="48" spans="1:14" ht="15.75" x14ac:dyDescent="0.25">
      <c r="A48" s="18" t="s">
        <v>153</v>
      </c>
      <c r="B48" s="18" t="s">
        <v>154</v>
      </c>
      <c r="C48" s="18" t="s">
        <v>73</v>
      </c>
      <c r="D48" s="18" t="s">
        <v>146</v>
      </c>
      <c r="E48" s="18" t="s">
        <v>1</v>
      </c>
      <c r="F48" s="18"/>
      <c r="G48" s="18"/>
      <c r="H48" s="18"/>
      <c r="I48" s="18"/>
      <c r="J48" s="18"/>
      <c r="K48" s="18"/>
      <c r="L48" s="1"/>
      <c r="M48" s="1"/>
      <c r="N48"/>
    </row>
    <row r="49" spans="1:14" ht="15.75" x14ac:dyDescent="0.25">
      <c r="A49" s="18" t="s">
        <v>155</v>
      </c>
      <c r="B49" s="18" t="s">
        <v>156</v>
      </c>
      <c r="C49" s="18" t="s">
        <v>73</v>
      </c>
      <c r="D49" s="18" t="s">
        <v>146</v>
      </c>
      <c r="E49" s="18" t="s">
        <v>1</v>
      </c>
      <c r="F49" s="18"/>
      <c r="G49" s="18"/>
      <c r="H49" s="18"/>
      <c r="I49" s="18"/>
      <c r="J49" s="18"/>
      <c r="K49" s="18"/>
      <c r="L49" s="1"/>
      <c r="M49" s="1"/>
      <c r="N49"/>
    </row>
    <row r="50" spans="1:14" ht="15.75" x14ac:dyDescent="0.25">
      <c r="A50" s="18" t="s">
        <v>157</v>
      </c>
      <c r="B50" s="18" t="s">
        <v>158</v>
      </c>
      <c r="C50" s="18" t="s">
        <v>73</v>
      </c>
      <c r="D50" s="18" t="s">
        <v>146</v>
      </c>
      <c r="E50" s="18" t="s">
        <v>1</v>
      </c>
      <c r="F50" s="18"/>
      <c r="G50" s="18"/>
      <c r="H50" s="18"/>
      <c r="I50" s="18"/>
      <c r="J50" s="18"/>
      <c r="K50" s="18"/>
      <c r="L50" s="1"/>
      <c r="M50" s="1"/>
      <c r="N50"/>
    </row>
    <row r="51" spans="1:14" ht="15.75" x14ac:dyDescent="0.25">
      <c r="A51" s="18" t="s">
        <v>159</v>
      </c>
      <c r="B51" s="18" t="s">
        <v>160</v>
      </c>
      <c r="C51" s="18" t="s">
        <v>73</v>
      </c>
      <c r="D51" s="18" t="s">
        <v>146</v>
      </c>
      <c r="E51" s="18" t="s">
        <v>1</v>
      </c>
      <c r="F51" s="18"/>
      <c r="G51" s="18"/>
      <c r="H51" s="18"/>
      <c r="I51" s="18"/>
      <c r="J51" s="18"/>
      <c r="K51" s="18"/>
      <c r="L51" s="1"/>
      <c r="M51" s="1"/>
      <c r="N51"/>
    </row>
    <row r="52" spans="1:14" ht="15.75" x14ac:dyDescent="0.25">
      <c r="A52" s="18" t="s">
        <v>161</v>
      </c>
      <c r="B52" s="18" t="s">
        <v>262</v>
      </c>
      <c r="C52" s="18" t="s">
        <v>72</v>
      </c>
      <c r="D52" s="18" t="s">
        <v>146</v>
      </c>
      <c r="E52" s="18" t="s">
        <v>162</v>
      </c>
      <c r="F52" s="19">
        <v>4</v>
      </c>
      <c r="G52" s="19">
        <v>37</v>
      </c>
      <c r="H52" s="19">
        <v>0.56000000000000005</v>
      </c>
      <c r="I52" s="19">
        <v>74</v>
      </c>
      <c r="J52" s="19">
        <v>9</v>
      </c>
      <c r="K52" s="19">
        <v>13.75</v>
      </c>
      <c r="L52" s="5">
        <f t="shared" ref="L52:L54" si="4">F52+(G52/60)+(H52/3600)</f>
        <v>4.6168222222222228</v>
      </c>
      <c r="M52" s="5">
        <f t="shared" ref="M52:M54" si="5">I52+(J52/60)+(K52/3600)</f>
        <v>74.153819444444451</v>
      </c>
    </row>
    <row r="53" spans="1:14" ht="15.75" x14ac:dyDescent="0.25">
      <c r="A53" s="18" t="s">
        <v>163</v>
      </c>
      <c r="B53" s="18" t="s">
        <v>164</v>
      </c>
      <c r="C53" s="18" t="s">
        <v>72</v>
      </c>
      <c r="D53" s="18" t="s">
        <v>146</v>
      </c>
      <c r="E53" s="18" t="s">
        <v>162</v>
      </c>
      <c r="F53" s="19">
        <v>4</v>
      </c>
      <c r="G53" s="19">
        <v>39</v>
      </c>
      <c r="H53" s="19">
        <v>7.18</v>
      </c>
      <c r="I53" s="19">
        <v>74</v>
      </c>
      <c r="J53" s="19">
        <v>8</v>
      </c>
      <c r="K53" s="19">
        <v>55.47</v>
      </c>
      <c r="L53" s="5">
        <f t="shared" si="4"/>
        <v>4.651994444444445</v>
      </c>
      <c r="M53" s="5">
        <f t="shared" si="5"/>
        <v>74.14874166666668</v>
      </c>
    </row>
    <row r="54" spans="1:14" ht="15.75" x14ac:dyDescent="0.25">
      <c r="A54" s="18" t="s">
        <v>165</v>
      </c>
      <c r="B54" s="18" t="s">
        <v>166</v>
      </c>
      <c r="C54" s="18" t="s">
        <v>72</v>
      </c>
      <c r="D54" s="18" t="s">
        <v>146</v>
      </c>
      <c r="E54" s="18" t="s">
        <v>162</v>
      </c>
      <c r="F54" s="19">
        <v>4</v>
      </c>
      <c r="G54" s="19">
        <v>36</v>
      </c>
      <c r="H54" s="19">
        <v>23.26</v>
      </c>
      <c r="I54" s="19">
        <v>74</v>
      </c>
      <c r="J54" s="19">
        <v>8</v>
      </c>
      <c r="K54" s="19">
        <v>15.12</v>
      </c>
      <c r="L54" s="5">
        <f t="shared" si="4"/>
        <v>4.6064611111111109</v>
      </c>
      <c r="M54" s="5">
        <f t="shared" si="5"/>
        <v>74.137533333333337</v>
      </c>
    </row>
    <row r="55" spans="1:14" ht="15.75" x14ac:dyDescent="0.25">
      <c r="A55" s="18" t="s">
        <v>167</v>
      </c>
      <c r="B55" s="18" t="s">
        <v>168</v>
      </c>
      <c r="C55" s="18" t="s">
        <v>73</v>
      </c>
      <c r="D55" s="18" t="s">
        <v>146</v>
      </c>
      <c r="E55" s="18" t="s">
        <v>162</v>
      </c>
      <c r="F55" s="18"/>
      <c r="G55" s="18"/>
      <c r="H55" s="18"/>
      <c r="I55" s="18"/>
      <c r="J55" s="18"/>
      <c r="K55" s="18"/>
      <c r="L55" s="1"/>
      <c r="M55" s="1"/>
      <c r="N55"/>
    </row>
    <row r="56" spans="1:14" ht="15.75" x14ac:dyDescent="0.25">
      <c r="A56" s="18" t="s">
        <v>169</v>
      </c>
      <c r="B56" s="18" t="s">
        <v>170</v>
      </c>
      <c r="C56" s="18" t="s">
        <v>73</v>
      </c>
      <c r="D56" s="18" t="s">
        <v>146</v>
      </c>
      <c r="E56" s="18" t="s">
        <v>162</v>
      </c>
      <c r="F56" s="18"/>
      <c r="G56" s="18"/>
      <c r="H56" s="18"/>
      <c r="I56" s="18"/>
      <c r="J56" s="18"/>
      <c r="K56" s="18"/>
      <c r="L56" s="1"/>
      <c r="M56" s="1"/>
      <c r="N56"/>
    </row>
    <row r="57" spans="1:14" ht="15.75" x14ac:dyDescent="0.25">
      <c r="A57" s="18" t="s">
        <v>171</v>
      </c>
      <c r="B57" s="18" t="s">
        <v>172</v>
      </c>
      <c r="C57" s="18" t="s">
        <v>73</v>
      </c>
      <c r="D57" s="18" t="s">
        <v>146</v>
      </c>
      <c r="E57" s="18" t="s">
        <v>162</v>
      </c>
      <c r="F57" s="18"/>
      <c r="G57" s="18"/>
      <c r="H57" s="18"/>
      <c r="I57" s="18"/>
      <c r="J57" s="18"/>
      <c r="K57" s="18"/>
      <c r="L57" s="1"/>
      <c r="M57" s="1"/>
      <c r="N57"/>
    </row>
    <row r="58" spans="1:14" ht="15.75" x14ac:dyDescent="0.25">
      <c r="A58" s="18" t="s">
        <v>173</v>
      </c>
      <c r="B58" s="18" t="s">
        <v>174</v>
      </c>
      <c r="C58" s="18" t="s">
        <v>73</v>
      </c>
      <c r="D58" s="18" t="s">
        <v>146</v>
      </c>
      <c r="E58" s="18" t="s">
        <v>162</v>
      </c>
      <c r="F58" s="18"/>
      <c r="G58" s="18"/>
      <c r="H58" s="18"/>
      <c r="I58" s="18"/>
      <c r="J58" s="18"/>
      <c r="K58" s="18"/>
      <c r="L58" s="1"/>
      <c r="M58" s="1"/>
      <c r="N58"/>
    </row>
    <row r="59" spans="1:14" ht="15.75" x14ac:dyDescent="0.25">
      <c r="A59" s="18" t="s">
        <v>175</v>
      </c>
      <c r="B59" s="18" t="s">
        <v>176</v>
      </c>
      <c r="C59" s="18" t="s">
        <v>73</v>
      </c>
      <c r="D59" s="18" t="s">
        <v>146</v>
      </c>
      <c r="E59" s="18" t="s">
        <v>162</v>
      </c>
      <c r="F59" s="18"/>
      <c r="G59" s="18"/>
      <c r="H59" s="18"/>
      <c r="I59" s="18"/>
      <c r="J59" s="18"/>
      <c r="K59" s="18"/>
      <c r="L59" s="1"/>
      <c r="M59" s="1"/>
      <c r="N59"/>
    </row>
    <row r="60" spans="1:14" ht="15.75" x14ac:dyDescent="0.25">
      <c r="A60" s="18" t="s">
        <v>177</v>
      </c>
      <c r="B60" s="18" t="s">
        <v>178</v>
      </c>
      <c r="C60" s="18" t="s">
        <v>73</v>
      </c>
      <c r="D60" s="18" t="s">
        <v>146</v>
      </c>
      <c r="E60" s="18" t="s">
        <v>162</v>
      </c>
      <c r="F60" s="18"/>
      <c r="G60" s="18"/>
      <c r="H60" s="18"/>
      <c r="I60" s="18"/>
      <c r="J60" s="18"/>
      <c r="K60" s="18"/>
      <c r="L60" s="1"/>
      <c r="M60" s="1"/>
      <c r="N60"/>
    </row>
    <row r="61" spans="1:14" ht="15.75" x14ac:dyDescent="0.25">
      <c r="A61" s="18" t="s">
        <v>179</v>
      </c>
      <c r="B61" s="18" t="s">
        <v>180</v>
      </c>
      <c r="C61" s="18" t="s">
        <v>73</v>
      </c>
      <c r="D61" s="18" t="s">
        <v>146</v>
      </c>
      <c r="E61" s="18" t="s">
        <v>162</v>
      </c>
      <c r="F61" s="18"/>
      <c r="G61" s="18"/>
      <c r="H61" s="18"/>
      <c r="I61" s="18"/>
      <c r="J61" s="18"/>
      <c r="K61" s="18"/>
      <c r="L61" s="1"/>
      <c r="M61" s="1"/>
      <c r="N61"/>
    </row>
    <row r="62" spans="1:14" ht="15.75" x14ac:dyDescent="0.25">
      <c r="A62" s="18" t="s">
        <v>181</v>
      </c>
      <c r="B62" s="18" t="s">
        <v>182</v>
      </c>
      <c r="C62" s="18" t="s">
        <v>73</v>
      </c>
      <c r="D62" s="18" t="s">
        <v>146</v>
      </c>
      <c r="E62" s="18" t="s">
        <v>162</v>
      </c>
      <c r="F62" s="18"/>
      <c r="G62" s="18"/>
      <c r="H62" s="18"/>
      <c r="I62" s="18"/>
      <c r="J62" s="18"/>
      <c r="K62" s="18"/>
      <c r="L62" s="1"/>
      <c r="M62" s="1"/>
      <c r="N62"/>
    </row>
    <row r="63" spans="1:14" ht="15.75" x14ac:dyDescent="0.25">
      <c r="A63" s="18" t="s">
        <v>183</v>
      </c>
      <c r="B63" s="18" t="s">
        <v>184</v>
      </c>
      <c r="C63" s="18" t="s">
        <v>73</v>
      </c>
      <c r="D63" s="18" t="s">
        <v>146</v>
      </c>
      <c r="E63" s="18" t="s">
        <v>162</v>
      </c>
      <c r="F63" s="18"/>
      <c r="G63" s="18"/>
      <c r="H63" s="18"/>
      <c r="I63" s="18"/>
      <c r="J63" s="18"/>
      <c r="K63" s="18"/>
      <c r="L63" s="1"/>
      <c r="M63" s="1"/>
      <c r="N63"/>
    </row>
    <row r="64" spans="1:14" ht="15.75" x14ac:dyDescent="0.25">
      <c r="A64" s="18" t="s">
        <v>185</v>
      </c>
      <c r="B64" s="18" t="s">
        <v>186</v>
      </c>
      <c r="C64" s="18" t="s">
        <v>73</v>
      </c>
      <c r="D64" s="18" t="s">
        <v>146</v>
      </c>
      <c r="E64" s="18" t="s">
        <v>162</v>
      </c>
      <c r="F64" s="18"/>
      <c r="G64" s="18"/>
      <c r="H64" s="18"/>
      <c r="I64" s="18"/>
      <c r="J64" s="18"/>
      <c r="K64" s="18"/>
      <c r="L64" s="1"/>
      <c r="M64" s="1"/>
      <c r="N64"/>
    </row>
    <row r="65" spans="1:14" ht="15.75" x14ac:dyDescent="0.25">
      <c r="A65" s="18" t="s">
        <v>187</v>
      </c>
      <c r="B65" s="18" t="s">
        <v>188</v>
      </c>
      <c r="C65" s="18" t="s">
        <v>73</v>
      </c>
      <c r="D65" s="18" t="s">
        <v>146</v>
      </c>
      <c r="E65" s="18" t="s">
        <v>162</v>
      </c>
      <c r="F65" s="18"/>
      <c r="G65" s="18"/>
      <c r="H65" s="18"/>
      <c r="I65" s="18"/>
      <c r="J65" s="18"/>
      <c r="K65" s="18"/>
      <c r="L65" s="1"/>
      <c r="M65" s="1"/>
      <c r="N65"/>
    </row>
    <row r="66" spans="1:14" ht="15.75" x14ac:dyDescent="0.25">
      <c r="A66" s="18" t="s">
        <v>189</v>
      </c>
      <c r="B66" s="18" t="s">
        <v>190</v>
      </c>
      <c r="C66" s="18" t="s">
        <v>73</v>
      </c>
      <c r="D66" s="18" t="s">
        <v>146</v>
      </c>
      <c r="E66" s="18" t="s">
        <v>162</v>
      </c>
      <c r="F66" s="18"/>
      <c r="G66" s="18"/>
      <c r="H66" s="18"/>
      <c r="I66" s="18"/>
      <c r="J66" s="18"/>
      <c r="K66" s="18"/>
      <c r="L66" s="1"/>
      <c r="M66" s="1"/>
      <c r="N66"/>
    </row>
    <row r="67" spans="1:14" ht="15.75" x14ac:dyDescent="0.25">
      <c r="A67" s="18" t="s">
        <v>191</v>
      </c>
      <c r="B67" s="18" t="s">
        <v>263</v>
      </c>
      <c r="C67" s="18" t="s">
        <v>72</v>
      </c>
      <c r="D67" s="18" t="s">
        <v>146</v>
      </c>
      <c r="E67" s="18" t="s">
        <v>18</v>
      </c>
      <c r="F67" s="19">
        <v>4</v>
      </c>
      <c r="G67" s="19">
        <v>40</v>
      </c>
      <c r="H67" s="19">
        <v>17.97</v>
      </c>
      <c r="I67" s="19">
        <v>74</v>
      </c>
      <c r="J67" s="19">
        <v>8</v>
      </c>
      <c r="K67" s="19">
        <v>45.75</v>
      </c>
      <c r="L67" s="5">
        <f>F67+(G67/60)+(H67/3600)</f>
        <v>4.6716583333333332</v>
      </c>
      <c r="M67" s="5">
        <f>I67+(J67/60)+(K67/3600)</f>
        <v>74.146041666666676</v>
      </c>
    </row>
    <row r="68" spans="1:14" ht="15.75" x14ac:dyDescent="0.25">
      <c r="A68" s="18" t="s">
        <v>192</v>
      </c>
      <c r="B68" s="18" t="s">
        <v>193</v>
      </c>
      <c r="C68" s="18" t="s">
        <v>73</v>
      </c>
      <c r="D68" s="18" t="s">
        <v>146</v>
      </c>
      <c r="E68" s="18" t="s">
        <v>18</v>
      </c>
      <c r="F68" s="18"/>
      <c r="G68" s="18"/>
      <c r="H68" s="18"/>
      <c r="I68" s="18"/>
      <c r="J68" s="18"/>
      <c r="K68" s="18"/>
      <c r="L68" s="1"/>
      <c r="M68" s="1"/>
      <c r="N68"/>
    </row>
    <row r="69" spans="1:14" ht="15.75" x14ac:dyDescent="0.25">
      <c r="A69" s="18" t="s">
        <v>194</v>
      </c>
      <c r="B69" s="18" t="s">
        <v>195</v>
      </c>
      <c r="C69" s="18" t="s">
        <v>73</v>
      </c>
      <c r="D69" s="18" t="s">
        <v>146</v>
      </c>
      <c r="E69" s="18" t="s">
        <v>18</v>
      </c>
      <c r="F69" s="18"/>
      <c r="G69" s="18"/>
      <c r="H69" s="18"/>
      <c r="I69" s="18"/>
      <c r="J69" s="18"/>
      <c r="K69" s="18"/>
      <c r="L69" s="1"/>
      <c r="M69" s="1"/>
      <c r="N69"/>
    </row>
    <row r="70" spans="1:14" ht="15.75" x14ac:dyDescent="0.25">
      <c r="A70" s="18" t="s">
        <v>196</v>
      </c>
      <c r="B70" s="18" t="s">
        <v>197</v>
      </c>
      <c r="C70" s="18" t="s">
        <v>73</v>
      </c>
      <c r="D70" s="18" t="s">
        <v>146</v>
      </c>
      <c r="E70" s="18" t="s">
        <v>18</v>
      </c>
      <c r="F70" s="18"/>
      <c r="G70" s="18"/>
      <c r="H70" s="18"/>
      <c r="I70" s="18"/>
      <c r="J70" s="18"/>
      <c r="K70" s="18"/>
      <c r="L70" s="1"/>
      <c r="M70" s="1"/>
      <c r="N70"/>
    </row>
    <row r="71" spans="1:14" ht="15.75" x14ac:dyDescent="0.25">
      <c r="A71" s="18" t="s">
        <v>198</v>
      </c>
      <c r="B71" s="18" t="s">
        <v>199</v>
      </c>
      <c r="C71" s="18" t="s">
        <v>73</v>
      </c>
      <c r="D71" s="18" t="s">
        <v>146</v>
      </c>
      <c r="E71" s="18" t="s">
        <v>18</v>
      </c>
      <c r="F71" s="18"/>
      <c r="G71" s="18"/>
      <c r="H71" s="18"/>
      <c r="I71" s="18"/>
      <c r="J71" s="18"/>
      <c r="K71" s="18"/>
      <c r="L71" s="1"/>
      <c r="M71" s="1"/>
      <c r="N71"/>
    </row>
    <row r="72" spans="1:14" ht="15.75" x14ac:dyDescent="0.25">
      <c r="A72" s="18" t="s">
        <v>200</v>
      </c>
      <c r="B72" s="18" t="s">
        <v>201</v>
      </c>
      <c r="C72" s="18" t="s">
        <v>73</v>
      </c>
      <c r="D72" s="18" t="s">
        <v>146</v>
      </c>
      <c r="E72" s="18" t="s">
        <v>18</v>
      </c>
      <c r="F72" s="18"/>
      <c r="G72" s="18"/>
      <c r="H72" s="18"/>
      <c r="I72" s="18"/>
      <c r="J72" s="18"/>
      <c r="K72" s="18"/>
      <c r="L72" s="1"/>
      <c r="M72" s="1"/>
      <c r="N72"/>
    </row>
    <row r="73" spans="1:14" ht="15.75" x14ac:dyDescent="0.25">
      <c r="A73" s="18" t="s">
        <v>202</v>
      </c>
      <c r="B73" s="18" t="s">
        <v>204</v>
      </c>
      <c r="C73" s="18" t="s">
        <v>73</v>
      </c>
      <c r="D73" s="18" t="s">
        <v>146</v>
      </c>
      <c r="E73" s="18" t="s">
        <v>18</v>
      </c>
      <c r="F73" s="18"/>
      <c r="G73" s="18"/>
      <c r="H73" s="18"/>
      <c r="I73" s="18"/>
      <c r="J73" s="18"/>
      <c r="K73" s="18"/>
      <c r="L73" s="1"/>
      <c r="M73" s="1"/>
      <c r="N73"/>
    </row>
    <row r="74" spans="1:14" ht="15.75" x14ac:dyDescent="0.25">
      <c r="A74" s="18" t="s">
        <v>203</v>
      </c>
      <c r="B74" s="18" t="s">
        <v>205</v>
      </c>
      <c r="C74" s="18" t="s">
        <v>73</v>
      </c>
      <c r="D74" s="18" t="s">
        <v>146</v>
      </c>
      <c r="E74" s="18" t="s">
        <v>18</v>
      </c>
      <c r="F74" s="18"/>
      <c r="G74" s="18"/>
      <c r="H74" s="18"/>
      <c r="I74" s="18"/>
      <c r="J74" s="18"/>
      <c r="K74" s="18"/>
      <c r="L74" s="1"/>
      <c r="M74" s="1"/>
      <c r="N74"/>
    </row>
    <row r="75" spans="1:14" ht="15.75" x14ac:dyDescent="0.25">
      <c r="A75" s="18" t="s">
        <v>206</v>
      </c>
      <c r="B75" s="18" t="s">
        <v>207</v>
      </c>
      <c r="C75" s="18" t="s">
        <v>73</v>
      </c>
      <c r="D75" s="18" t="s">
        <v>146</v>
      </c>
      <c r="E75" s="18" t="s">
        <v>18</v>
      </c>
      <c r="F75" s="18"/>
      <c r="G75" s="18"/>
      <c r="H75" s="18"/>
      <c r="I75" s="18"/>
      <c r="J75" s="18"/>
      <c r="K75" s="18"/>
      <c r="L75" s="1"/>
      <c r="M75" s="1"/>
      <c r="N75"/>
    </row>
    <row r="76" spans="1:14" ht="15.75" x14ac:dyDescent="0.25">
      <c r="A76" s="18" t="s">
        <v>208</v>
      </c>
      <c r="B76" s="18" t="s">
        <v>211</v>
      </c>
      <c r="C76" s="18" t="s">
        <v>73</v>
      </c>
      <c r="D76" s="18" t="s">
        <v>146</v>
      </c>
      <c r="E76" s="18" t="s">
        <v>7</v>
      </c>
      <c r="F76" s="18"/>
      <c r="G76" s="18"/>
      <c r="H76" s="18"/>
      <c r="I76" s="18"/>
      <c r="J76" s="18"/>
      <c r="K76" s="18"/>
      <c r="L76" s="1"/>
      <c r="M76" s="1"/>
      <c r="N76"/>
    </row>
    <row r="77" spans="1:14" ht="15.75" x14ac:dyDescent="0.25">
      <c r="A77" s="18" t="s">
        <v>209</v>
      </c>
      <c r="B77" s="18" t="s">
        <v>212</v>
      </c>
      <c r="C77" s="18" t="s">
        <v>73</v>
      </c>
      <c r="D77" s="18" t="s">
        <v>146</v>
      </c>
      <c r="E77" s="18" t="s">
        <v>7</v>
      </c>
      <c r="F77" s="18"/>
      <c r="G77" s="18"/>
      <c r="H77" s="18"/>
      <c r="I77" s="18"/>
      <c r="J77" s="18"/>
      <c r="K77" s="18"/>
      <c r="L77" s="1"/>
      <c r="M77" s="1"/>
      <c r="N77"/>
    </row>
    <row r="78" spans="1:14" ht="15.75" x14ac:dyDescent="0.25">
      <c r="A78" s="18" t="s">
        <v>210</v>
      </c>
      <c r="B78" s="18" t="s">
        <v>213</v>
      </c>
      <c r="C78" s="18" t="s">
        <v>73</v>
      </c>
      <c r="D78" s="18" t="s">
        <v>146</v>
      </c>
      <c r="E78" s="18" t="s">
        <v>7</v>
      </c>
      <c r="F78" s="18"/>
      <c r="G78" s="18"/>
      <c r="H78" s="18"/>
      <c r="I78" s="18"/>
      <c r="J78" s="18"/>
      <c r="K78" s="18"/>
      <c r="L78" s="1"/>
      <c r="M78" s="1"/>
      <c r="N78"/>
    </row>
    <row r="79" spans="1:14" ht="15.75" x14ac:dyDescent="0.25">
      <c r="A79" s="18" t="s">
        <v>216</v>
      </c>
      <c r="B79" s="18" t="s">
        <v>243</v>
      </c>
      <c r="C79" s="18" t="s">
        <v>72</v>
      </c>
      <c r="D79" s="18" t="s">
        <v>215</v>
      </c>
      <c r="E79" s="18" t="s">
        <v>214</v>
      </c>
      <c r="F79" s="19">
        <v>4</v>
      </c>
      <c r="G79" s="19">
        <v>39</v>
      </c>
      <c r="H79" s="19">
        <v>12.99</v>
      </c>
      <c r="I79" s="19">
        <v>74</v>
      </c>
      <c r="J79" s="19">
        <v>3</v>
      </c>
      <c r="K79" s="19">
        <v>55.93</v>
      </c>
      <c r="L79" s="5">
        <f>F79+(G79/60)+(H79/3600)</f>
        <v>4.6536083333333336</v>
      </c>
      <c r="M79" s="5">
        <f>I79+(J79/60)+(K79/3600)</f>
        <v>74.065536111111115</v>
      </c>
    </row>
    <row r="80" spans="1:14" ht="15.75" x14ac:dyDescent="0.25">
      <c r="A80" s="18" t="s">
        <v>219</v>
      </c>
      <c r="B80" s="18"/>
      <c r="C80" s="18" t="s">
        <v>227</v>
      </c>
      <c r="D80" s="18" t="s">
        <v>215</v>
      </c>
      <c r="E80" s="18" t="s">
        <v>214</v>
      </c>
      <c r="F80" s="18"/>
      <c r="G80" s="18"/>
      <c r="H80" s="18"/>
      <c r="I80" s="18"/>
      <c r="J80" s="18"/>
      <c r="K80" s="18"/>
      <c r="L80" s="1"/>
      <c r="M80" s="1"/>
      <c r="N80"/>
    </row>
    <row r="81" spans="1:14" ht="15.75" x14ac:dyDescent="0.25">
      <c r="A81" s="18" t="s">
        <v>217</v>
      </c>
      <c r="B81" s="18" t="s">
        <v>242</v>
      </c>
      <c r="C81" s="18" t="s">
        <v>72</v>
      </c>
      <c r="D81" s="18" t="s">
        <v>215</v>
      </c>
      <c r="E81" s="18" t="s">
        <v>2</v>
      </c>
      <c r="F81" s="19">
        <v>4</v>
      </c>
      <c r="G81" s="19">
        <v>42</v>
      </c>
      <c r="H81" s="19">
        <v>41.2</v>
      </c>
      <c r="I81" s="19">
        <v>74</v>
      </c>
      <c r="J81" s="19">
        <v>6</v>
      </c>
      <c r="K81" s="19">
        <v>35.270000000000003</v>
      </c>
      <c r="L81" s="5">
        <f t="shared" ref="L81:L82" si="6">F81+(G81/60)+(H81/3600)</f>
        <v>4.711444444444445</v>
      </c>
      <c r="M81" s="5">
        <f t="shared" ref="M81:M82" si="7">I81+(J81/60)+(K81/3600)</f>
        <v>74.109797222222213</v>
      </c>
    </row>
    <row r="82" spans="1:14" ht="15.75" x14ac:dyDescent="0.25">
      <c r="A82" s="18" t="s">
        <v>218</v>
      </c>
      <c r="B82" s="18" t="s">
        <v>264</v>
      </c>
      <c r="C82" s="18" t="s">
        <v>72</v>
      </c>
      <c r="D82" s="18" t="s">
        <v>215</v>
      </c>
      <c r="E82" s="18" t="s">
        <v>2</v>
      </c>
      <c r="F82" s="19">
        <v>4</v>
      </c>
      <c r="G82" s="19">
        <v>42</v>
      </c>
      <c r="H82" s="19">
        <v>54.72</v>
      </c>
      <c r="I82" s="19">
        <v>74</v>
      </c>
      <c r="J82" s="19">
        <v>8</v>
      </c>
      <c r="K82" s="19">
        <v>27.22</v>
      </c>
      <c r="L82" s="5">
        <f t="shared" si="6"/>
        <v>4.7152000000000003</v>
      </c>
      <c r="M82" s="5">
        <f t="shared" si="7"/>
        <v>74.140894444444456</v>
      </c>
    </row>
    <row r="83" spans="1:14" ht="15.75" x14ac:dyDescent="0.25">
      <c r="A83" s="18" t="s">
        <v>220</v>
      </c>
      <c r="B83" s="18"/>
      <c r="C83" s="18" t="s">
        <v>227</v>
      </c>
      <c r="D83" s="18" t="s">
        <v>215</v>
      </c>
      <c r="E83" s="18" t="s">
        <v>2</v>
      </c>
      <c r="F83" s="18"/>
      <c r="G83" s="18"/>
      <c r="H83" s="18"/>
      <c r="I83" s="18"/>
      <c r="J83" s="18"/>
      <c r="K83" s="18"/>
      <c r="L83" s="1"/>
      <c r="M83" s="1"/>
      <c r="N83"/>
    </row>
    <row r="84" spans="1:14" ht="15.75" x14ac:dyDescent="0.25">
      <c r="A84" s="18" t="s">
        <v>221</v>
      </c>
      <c r="B84" s="18"/>
      <c r="C84" s="18" t="s">
        <v>227</v>
      </c>
      <c r="D84" s="18" t="s">
        <v>215</v>
      </c>
      <c r="E84" s="18" t="s">
        <v>2</v>
      </c>
      <c r="F84" s="18"/>
      <c r="G84" s="18"/>
      <c r="H84" s="18"/>
      <c r="I84" s="18"/>
      <c r="J84" s="18"/>
      <c r="K84" s="18"/>
      <c r="L84" s="1"/>
      <c r="M84" s="1"/>
      <c r="N84"/>
    </row>
    <row r="85" spans="1:14" ht="15.75" x14ac:dyDescent="0.25">
      <c r="A85" s="18" t="s">
        <v>222</v>
      </c>
      <c r="B85" s="18"/>
      <c r="C85" s="18" t="s">
        <v>227</v>
      </c>
      <c r="D85" s="18" t="s">
        <v>215</v>
      </c>
      <c r="E85" s="18" t="s">
        <v>2</v>
      </c>
      <c r="F85" s="18"/>
      <c r="G85" s="18"/>
      <c r="H85" s="18"/>
      <c r="I85" s="18"/>
      <c r="J85" s="18"/>
      <c r="K85" s="18"/>
      <c r="L85" s="1"/>
      <c r="M85" s="1"/>
      <c r="N85"/>
    </row>
    <row r="86" spans="1:14" ht="15.75" x14ac:dyDescent="0.25">
      <c r="A86" s="18" t="s">
        <v>223</v>
      </c>
      <c r="B86" s="18"/>
      <c r="C86" s="18" t="s">
        <v>227</v>
      </c>
      <c r="D86" s="18" t="s">
        <v>215</v>
      </c>
      <c r="E86" s="18" t="s">
        <v>2</v>
      </c>
      <c r="F86" s="18"/>
      <c r="G86" s="18"/>
      <c r="H86" s="18"/>
      <c r="I86" s="18"/>
      <c r="J86" s="18"/>
      <c r="K86" s="18"/>
      <c r="L86" s="1"/>
      <c r="M86" s="1"/>
      <c r="N86"/>
    </row>
    <row r="87" spans="1:14" ht="15.75" x14ac:dyDescent="0.25">
      <c r="A87" s="18" t="s">
        <v>224</v>
      </c>
      <c r="B87" s="18"/>
      <c r="C87" s="18" t="s">
        <v>227</v>
      </c>
      <c r="D87" s="18" t="s">
        <v>215</v>
      </c>
      <c r="E87" s="18" t="s">
        <v>2</v>
      </c>
      <c r="F87" s="18"/>
      <c r="G87" s="18"/>
      <c r="H87" s="18"/>
      <c r="I87" s="18"/>
      <c r="J87" s="18"/>
      <c r="K87" s="18"/>
      <c r="L87" s="1"/>
      <c r="M87" s="1"/>
      <c r="N87"/>
    </row>
    <row r="88" spans="1:14" ht="15.75" x14ac:dyDescent="0.25">
      <c r="A88" s="18" t="s">
        <v>225</v>
      </c>
      <c r="B88" s="18"/>
      <c r="C88" s="18" t="s">
        <v>227</v>
      </c>
      <c r="D88" s="18" t="s">
        <v>215</v>
      </c>
      <c r="E88" s="18" t="s">
        <v>2</v>
      </c>
      <c r="F88" s="18"/>
      <c r="G88" s="18"/>
      <c r="H88" s="18"/>
      <c r="I88" s="18"/>
      <c r="J88" s="18"/>
      <c r="K88" s="18"/>
      <c r="L88" s="1"/>
      <c r="M88" s="1"/>
      <c r="N88"/>
    </row>
    <row r="89" spans="1:14" ht="15.75" x14ac:dyDescent="0.25">
      <c r="A89" s="18" t="s">
        <v>226</v>
      </c>
      <c r="B89" s="18"/>
      <c r="C89" s="18" t="s">
        <v>227</v>
      </c>
      <c r="D89" s="18" t="s">
        <v>215</v>
      </c>
      <c r="E89" s="18" t="s">
        <v>2</v>
      </c>
      <c r="F89" s="18"/>
      <c r="G89" s="18"/>
      <c r="H89" s="18"/>
      <c r="I89" s="18"/>
      <c r="J89" s="18"/>
      <c r="K89" s="18"/>
      <c r="L89" s="1"/>
      <c r="M89" s="1"/>
      <c r="N89"/>
    </row>
    <row r="90" spans="1:14" ht="15.75" x14ac:dyDescent="0.25">
      <c r="A90" s="18" t="s">
        <v>228</v>
      </c>
      <c r="B90" s="18"/>
      <c r="C90" s="18" t="s">
        <v>227</v>
      </c>
      <c r="D90" s="18" t="s">
        <v>215</v>
      </c>
      <c r="E90" s="18" t="s">
        <v>3</v>
      </c>
      <c r="F90" s="18"/>
      <c r="G90" s="18"/>
      <c r="H90" s="18"/>
      <c r="I90" s="18"/>
      <c r="J90" s="18"/>
      <c r="K90" s="18"/>
      <c r="L90" s="1"/>
      <c r="M90" s="1"/>
      <c r="N90"/>
    </row>
    <row r="91" spans="1:14" ht="15.75" x14ac:dyDescent="0.25">
      <c r="A91" s="18" t="s">
        <v>229</v>
      </c>
      <c r="B91" s="18" t="s">
        <v>265</v>
      </c>
      <c r="C91" s="18" t="s">
        <v>72</v>
      </c>
      <c r="D91" s="18" t="s">
        <v>215</v>
      </c>
      <c r="E91" s="18" t="s">
        <v>3</v>
      </c>
      <c r="F91" s="19">
        <v>4</v>
      </c>
      <c r="G91" s="19">
        <v>45</v>
      </c>
      <c r="H91" s="19">
        <v>12.69</v>
      </c>
      <c r="I91" s="19">
        <v>74</v>
      </c>
      <c r="J91" s="19">
        <v>5</v>
      </c>
      <c r="K91" s="19">
        <v>31</v>
      </c>
      <c r="L91" s="5">
        <f>F91+(G91/60)+(H91/3600)</f>
        <v>4.7535249999999998</v>
      </c>
      <c r="M91" s="5">
        <f>I91+(J91/60)+(K91/3600)</f>
        <v>74.091944444444437</v>
      </c>
    </row>
    <row r="92" spans="1:14" ht="15.75" x14ac:dyDescent="0.25">
      <c r="A92" s="18" t="s">
        <v>230</v>
      </c>
      <c r="B92" s="18"/>
      <c r="C92" s="18" t="s">
        <v>227</v>
      </c>
      <c r="D92" s="18" t="s">
        <v>215</v>
      </c>
      <c r="E92" s="18" t="s">
        <v>3</v>
      </c>
      <c r="F92" s="18"/>
      <c r="G92" s="18"/>
      <c r="H92" s="18"/>
      <c r="I92" s="18"/>
      <c r="J92" s="18"/>
      <c r="K92" s="18"/>
      <c r="L92" s="1"/>
      <c r="M92" s="1"/>
      <c r="N92"/>
    </row>
    <row r="93" spans="1:14" ht="15.75" x14ac:dyDescent="0.25">
      <c r="A93" s="18" t="s">
        <v>231</v>
      </c>
      <c r="B93" s="18"/>
      <c r="C93" s="18" t="s">
        <v>227</v>
      </c>
      <c r="D93" s="18" t="s">
        <v>215</v>
      </c>
      <c r="E93" s="18" t="s">
        <v>3</v>
      </c>
      <c r="F93" s="18"/>
      <c r="G93" s="18"/>
      <c r="H93" s="18"/>
      <c r="I93" s="18"/>
      <c r="J93" s="18"/>
      <c r="K93" s="18"/>
      <c r="L93" s="1"/>
      <c r="M93" s="1"/>
      <c r="N93"/>
    </row>
    <row r="94" spans="1:14" ht="15.75" x14ac:dyDescent="0.25">
      <c r="A94" s="18" t="s">
        <v>232</v>
      </c>
      <c r="B94" s="18"/>
      <c r="C94" s="18" t="s">
        <v>227</v>
      </c>
      <c r="D94" s="18" t="s">
        <v>215</v>
      </c>
      <c r="E94" s="18" t="s">
        <v>3</v>
      </c>
      <c r="F94" s="18"/>
      <c r="G94" s="18"/>
      <c r="H94" s="18"/>
      <c r="I94" s="18"/>
      <c r="J94" s="18"/>
      <c r="K94" s="18"/>
      <c r="L94" s="1"/>
      <c r="M94" s="1"/>
      <c r="N94"/>
    </row>
    <row r="95" spans="1:14" ht="15.75" x14ac:dyDescent="0.25">
      <c r="A95" s="18" t="s">
        <v>233</v>
      </c>
      <c r="B95" s="18"/>
      <c r="C95" s="18" t="s">
        <v>227</v>
      </c>
      <c r="D95" s="18" t="s">
        <v>215</v>
      </c>
      <c r="E95" s="18" t="s">
        <v>3</v>
      </c>
      <c r="F95" s="18"/>
      <c r="G95" s="18"/>
      <c r="H95" s="18"/>
      <c r="I95" s="18"/>
      <c r="J95" s="18"/>
      <c r="K95" s="18"/>
      <c r="L95" s="1"/>
      <c r="M95" s="1"/>
      <c r="N95"/>
    </row>
    <row r="96" spans="1:14" ht="15.75" x14ac:dyDescent="0.25">
      <c r="A96" s="18" t="s">
        <v>234</v>
      </c>
      <c r="B96" s="18" t="s">
        <v>241</v>
      </c>
      <c r="C96" s="18" t="s">
        <v>72</v>
      </c>
      <c r="D96" s="18" t="s">
        <v>215</v>
      </c>
      <c r="E96" s="18" t="s">
        <v>12</v>
      </c>
      <c r="F96" s="19">
        <v>4</v>
      </c>
      <c r="G96" s="19">
        <v>44</v>
      </c>
      <c r="H96" s="19">
        <v>33.33</v>
      </c>
      <c r="I96" s="19">
        <v>74</v>
      </c>
      <c r="J96" s="19">
        <v>1</v>
      </c>
      <c r="K96" s="19">
        <v>14.74</v>
      </c>
      <c r="L96" s="5">
        <f>F96+(G96/60)+(H96/3600)</f>
        <v>4.7425916666666668</v>
      </c>
      <c r="M96" s="5">
        <f>I96+(J96/60)+(K96/3600)</f>
        <v>74.020761111111113</v>
      </c>
    </row>
    <row r="97" spans="1:14" x14ac:dyDescent="0.25">
      <c r="A97" s="18" t="s">
        <v>235</v>
      </c>
      <c r="B97" s="18"/>
      <c r="C97" s="18" t="s">
        <v>227</v>
      </c>
      <c r="D97" s="18" t="s">
        <v>215</v>
      </c>
      <c r="E97" s="18" t="s">
        <v>12</v>
      </c>
      <c r="F97" s="18"/>
      <c r="G97" s="18"/>
      <c r="H97" s="18"/>
      <c r="I97" s="18"/>
      <c r="J97" s="18"/>
      <c r="K97" s="18"/>
      <c r="L97" s="18"/>
      <c r="M97" s="18"/>
      <c r="N97"/>
    </row>
    <row r="98" spans="1:14" x14ac:dyDescent="0.25">
      <c r="A98" s="18" t="s">
        <v>236</v>
      </c>
      <c r="B98" s="18"/>
      <c r="C98" s="18" t="s">
        <v>227</v>
      </c>
      <c r="D98" s="18" t="s">
        <v>215</v>
      </c>
      <c r="E98" s="18" t="s">
        <v>12</v>
      </c>
      <c r="F98" s="18"/>
      <c r="G98" s="18"/>
      <c r="H98" s="18"/>
      <c r="I98" s="18"/>
      <c r="J98" s="18"/>
      <c r="K98" s="18"/>
      <c r="L98" s="18"/>
      <c r="M98" s="18"/>
      <c r="N98"/>
    </row>
    <row r="99" spans="1:14" x14ac:dyDescent="0.25">
      <c r="A99" s="18" t="s">
        <v>237</v>
      </c>
      <c r="B99" s="18"/>
      <c r="C99" s="18" t="s">
        <v>227</v>
      </c>
      <c r="D99" s="18" t="s">
        <v>215</v>
      </c>
      <c r="E99" s="18" t="s">
        <v>12</v>
      </c>
      <c r="F99" s="18"/>
      <c r="G99" s="18"/>
      <c r="H99" s="18"/>
      <c r="I99" s="18"/>
      <c r="J99" s="18"/>
      <c r="K99" s="18"/>
      <c r="L99" s="18"/>
      <c r="M99" s="18"/>
      <c r="N99"/>
    </row>
    <row r="100" spans="1:14" x14ac:dyDescent="0.25">
      <c r="A100" s="18" t="s">
        <v>238</v>
      </c>
      <c r="B100" s="18"/>
      <c r="C100" s="18" t="s">
        <v>227</v>
      </c>
      <c r="D100" s="18" t="s">
        <v>215</v>
      </c>
      <c r="E100" s="18" t="s">
        <v>12</v>
      </c>
      <c r="F100" s="18"/>
      <c r="G100" s="18"/>
      <c r="H100" s="18"/>
      <c r="I100" s="18"/>
      <c r="J100" s="18"/>
      <c r="K100" s="18"/>
      <c r="L100" s="18"/>
      <c r="M100" s="18"/>
      <c r="N100"/>
    </row>
    <row r="101" spans="1:14" x14ac:dyDescent="0.25">
      <c r="A101" s="18" t="s">
        <v>239</v>
      </c>
      <c r="B101" s="18"/>
      <c r="C101" s="18" t="s">
        <v>227</v>
      </c>
      <c r="D101" s="18" t="s">
        <v>215</v>
      </c>
      <c r="E101" s="18" t="s">
        <v>12</v>
      </c>
      <c r="F101" s="18"/>
      <c r="G101" s="18"/>
      <c r="H101" s="18"/>
      <c r="I101" s="18"/>
      <c r="J101" s="18"/>
      <c r="K101" s="18"/>
      <c r="L101" s="18"/>
      <c r="M101" s="18"/>
      <c r="N101"/>
    </row>
    <row r="102" spans="1:14" x14ac:dyDescent="0.25">
      <c r="A102" s="18" t="s">
        <v>240</v>
      </c>
      <c r="B102" s="18"/>
      <c r="C102" s="18" t="s">
        <v>227</v>
      </c>
      <c r="D102" s="18" t="s">
        <v>215</v>
      </c>
      <c r="E102" s="18" t="s">
        <v>12</v>
      </c>
      <c r="F102" s="18"/>
      <c r="G102" s="18"/>
      <c r="H102" s="18"/>
      <c r="I102" s="18"/>
      <c r="J102" s="18"/>
      <c r="K102" s="18"/>
      <c r="L102" s="18"/>
      <c r="M102" s="18"/>
      <c r="N102"/>
    </row>
  </sheetData>
  <conditionalFormatting sqref="A83:A89 A2:A80 A91:A1048576">
    <cfRule type="duplicateValues" dxfId="25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96D4-BFC2-4BE0-A211-3C97920B6B65}">
  <dimension ref="A1:Z112"/>
  <sheetViews>
    <sheetView zoomScale="70" zoomScaleNormal="70" workbookViewId="0">
      <selection activeCell="Q20" sqref="Q20"/>
    </sheetView>
  </sheetViews>
  <sheetFormatPr baseColWidth="10" defaultRowHeight="15" x14ac:dyDescent="0.25"/>
  <cols>
    <col min="2" max="2" width="33.7109375" customWidth="1"/>
    <col min="3" max="3" width="35.7109375" customWidth="1"/>
    <col min="4" max="4" width="12.140625" customWidth="1"/>
    <col min="5" max="5" width="23.7109375" customWidth="1"/>
    <col min="6" max="6" width="14.7109375" customWidth="1"/>
    <col min="9" max="9" width="14" customWidth="1"/>
    <col min="10" max="10" width="14.7109375" customWidth="1"/>
    <col min="13" max="13" width="12.42578125" customWidth="1"/>
    <col min="18" max="18" width="13.28515625" customWidth="1"/>
    <col min="19" max="19" width="13.42578125" customWidth="1"/>
    <col min="26" max="26" width="33.140625" customWidth="1"/>
  </cols>
  <sheetData>
    <row r="1" spans="2:17" ht="15.75" x14ac:dyDescent="0.25">
      <c r="B1" s="48" t="s">
        <v>62</v>
      </c>
      <c r="C1" s="48" t="s">
        <v>63</v>
      </c>
      <c r="D1" s="48" t="s">
        <v>68</v>
      </c>
      <c r="E1" s="48" t="s">
        <v>64</v>
      </c>
      <c r="F1" s="48" t="s">
        <v>74</v>
      </c>
      <c r="G1" s="25"/>
      <c r="H1" s="26" t="s">
        <v>248</v>
      </c>
      <c r="I1" s="25"/>
      <c r="J1" s="25"/>
      <c r="K1" s="26" t="s">
        <v>249</v>
      </c>
      <c r="L1" s="25"/>
      <c r="M1" s="1" t="s">
        <v>248</v>
      </c>
      <c r="N1" s="1" t="s">
        <v>249</v>
      </c>
      <c r="P1" s="39"/>
    </row>
    <row r="2" spans="2:17" ht="30" customHeight="1" x14ac:dyDescent="0.25">
      <c r="B2" s="48"/>
      <c r="C2" s="48"/>
      <c r="D2" s="48"/>
      <c r="E2" s="48"/>
      <c r="F2" s="48"/>
      <c r="G2" s="2" t="s">
        <v>250</v>
      </c>
      <c r="H2" s="2" t="s">
        <v>251</v>
      </c>
      <c r="I2" s="2" t="s">
        <v>252</v>
      </c>
      <c r="J2" s="2" t="s">
        <v>250</v>
      </c>
      <c r="K2" s="2" t="s">
        <v>251</v>
      </c>
      <c r="L2" s="2" t="s">
        <v>252</v>
      </c>
      <c r="M2" s="1" t="s">
        <v>253</v>
      </c>
      <c r="N2" s="1" t="s">
        <v>253</v>
      </c>
      <c r="P2" s="39">
        <v>1</v>
      </c>
      <c r="Q2" t="s">
        <v>0</v>
      </c>
    </row>
    <row r="3" spans="2:17" ht="15.75" x14ac:dyDescent="0.25">
      <c r="B3" s="18" t="s">
        <v>82</v>
      </c>
      <c r="C3" s="18" t="s">
        <v>254</v>
      </c>
      <c r="D3" s="19" t="s">
        <v>72</v>
      </c>
      <c r="E3" s="18" t="s">
        <v>60</v>
      </c>
      <c r="F3" s="18" t="s">
        <v>0</v>
      </c>
      <c r="G3" s="19">
        <v>4</v>
      </c>
      <c r="H3" s="19">
        <v>33</v>
      </c>
      <c r="I3" s="40">
        <v>44.91</v>
      </c>
      <c r="J3" s="19">
        <v>74</v>
      </c>
      <c r="K3" s="19">
        <v>7</v>
      </c>
      <c r="L3" s="19">
        <v>32.909999999999997</v>
      </c>
      <c r="M3" s="5">
        <v>4.5624750000000001</v>
      </c>
      <c r="N3" s="5">
        <v>74.125808333333325</v>
      </c>
      <c r="P3" s="39">
        <v>2</v>
      </c>
      <c r="Q3" t="s">
        <v>10</v>
      </c>
    </row>
    <row r="4" spans="2:17" ht="15.75" x14ac:dyDescent="0.25">
      <c r="B4" s="18" t="s">
        <v>81</v>
      </c>
      <c r="C4" s="18" t="s">
        <v>257</v>
      </c>
      <c r="D4" s="19" t="s">
        <v>72</v>
      </c>
      <c r="E4" s="18" t="s">
        <v>60</v>
      </c>
      <c r="F4" s="18" t="s">
        <v>0</v>
      </c>
      <c r="G4" s="19">
        <v>4</v>
      </c>
      <c r="H4" s="19">
        <v>34</v>
      </c>
      <c r="I4" s="19">
        <v>17.14</v>
      </c>
      <c r="J4" s="19">
        <v>74</v>
      </c>
      <c r="K4" s="19">
        <v>7</v>
      </c>
      <c r="L4" s="19">
        <v>41.84</v>
      </c>
      <c r="M4" s="5">
        <v>4.5714277777777772</v>
      </c>
      <c r="N4" s="5">
        <v>74.128288888888889</v>
      </c>
      <c r="P4" s="39">
        <v>3</v>
      </c>
      <c r="Q4" t="s">
        <v>244</v>
      </c>
    </row>
    <row r="5" spans="2:17" ht="15.75" x14ac:dyDescent="0.25">
      <c r="B5" s="18" t="s">
        <v>80</v>
      </c>
      <c r="C5" s="18" t="s">
        <v>256</v>
      </c>
      <c r="D5" s="19" t="s">
        <v>72</v>
      </c>
      <c r="E5" s="18" t="s">
        <v>60</v>
      </c>
      <c r="F5" s="18" t="s">
        <v>10</v>
      </c>
      <c r="G5" s="19">
        <v>4</v>
      </c>
      <c r="H5" s="19">
        <v>33</v>
      </c>
      <c r="I5" s="19">
        <v>34.39</v>
      </c>
      <c r="J5" s="19">
        <v>74</v>
      </c>
      <c r="K5" s="19">
        <v>8</v>
      </c>
      <c r="L5" s="19">
        <v>19.329999999999998</v>
      </c>
      <c r="M5" s="5">
        <v>4.5595527777777773</v>
      </c>
      <c r="N5" s="5">
        <v>74.13870277777778</v>
      </c>
      <c r="P5" s="39">
        <v>4</v>
      </c>
      <c r="Q5" s="54" t="s">
        <v>8</v>
      </c>
    </row>
    <row r="6" spans="2:17" ht="15.75" x14ac:dyDescent="0.25">
      <c r="B6" s="18" t="s">
        <v>85</v>
      </c>
      <c r="C6" s="18" t="s">
        <v>255</v>
      </c>
      <c r="D6" s="19" t="s">
        <v>72</v>
      </c>
      <c r="E6" s="18" t="s">
        <v>60</v>
      </c>
      <c r="F6" s="18" t="s">
        <v>10</v>
      </c>
      <c r="G6" s="19">
        <v>4</v>
      </c>
      <c r="H6" s="19">
        <v>33</v>
      </c>
      <c r="I6" s="19">
        <v>7.72</v>
      </c>
      <c r="J6" s="19">
        <v>74</v>
      </c>
      <c r="K6" s="19">
        <v>8</v>
      </c>
      <c r="L6" s="19">
        <v>41.38</v>
      </c>
      <c r="M6" s="5">
        <v>4.5521444444444441</v>
      </c>
      <c r="N6" s="5">
        <v>74.144827777777778</v>
      </c>
      <c r="P6" s="39">
        <v>5</v>
      </c>
      <c r="Q6" t="s">
        <v>15</v>
      </c>
    </row>
    <row r="7" spans="2:17" ht="15.75" x14ac:dyDescent="0.25">
      <c r="B7" s="18" t="s">
        <v>79</v>
      </c>
      <c r="C7" s="18" t="s">
        <v>83</v>
      </c>
      <c r="D7" s="19" t="s">
        <v>72</v>
      </c>
      <c r="E7" s="18" t="s">
        <v>60</v>
      </c>
      <c r="F7" s="18" t="s">
        <v>10</v>
      </c>
      <c r="G7" s="19">
        <v>4</v>
      </c>
      <c r="H7" s="19">
        <v>32</v>
      </c>
      <c r="I7" s="19">
        <v>42.12</v>
      </c>
      <c r="J7" s="19">
        <v>74</v>
      </c>
      <c r="K7" s="19">
        <v>8</v>
      </c>
      <c r="L7" s="19">
        <v>47.78</v>
      </c>
      <c r="M7" s="5">
        <v>4.5450333333333335</v>
      </c>
      <c r="N7" s="5">
        <v>74.146605555555567</v>
      </c>
      <c r="P7" s="39">
        <v>6</v>
      </c>
      <c r="Q7" s="54" t="s">
        <v>1</v>
      </c>
    </row>
    <row r="8" spans="2:17" ht="15.75" x14ac:dyDescent="0.25">
      <c r="B8" s="18" t="s">
        <v>120</v>
      </c>
      <c r="C8" s="18" t="s">
        <v>258</v>
      </c>
      <c r="D8" s="19" t="s">
        <v>72</v>
      </c>
      <c r="E8" s="18" t="s">
        <v>61</v>
      </c>
      <c r="F8" s="18" t="s">
        <v>244</v>
      </c>
      <c r="G8" s="19">
        <v>4</v>
      </c>
      <c r="H8" s="19">
        <v>35</v>
      </c>
      <c r="I8" s="19">
        <v>28.7</v>
      </c>
      <c r="J8" s="19">
        <v>74</v>
      </c>
      <c r="K8" s="19">
        <v>5</v>
      </c>
      <c r="L8" s="19">
        <v>31.22</v>
      </c>
      <c r="M8" s="5">
        <v>4.5913055555555555</v>
      </c>
      <c r="N8" s="5">
        <v>74.092005555555545</v>
      </c>
      <c r="P8" s="39">
        <v>7</v>
      </c>
      <c r="Q8" t="s">
        <v>17</v>
      </c>
    </row>
    <row r="9" spans="2:17" ht="15.75" x14ac:dyDescent="0.25">
      <c r="B9" s="18" t="s">
        <v>66</v>
      </c>
      <c r="C9" s="18" t="s">
        <v>121</v>
      </c>
      <c r="D9" s="19" t="s">
        <v>72</v>
      </c>
      <c r="E9" s="18" t="s">
        <v>61</v>
      </c>
      <c r="F9" s="18" t="s">
        <v>244</v>
      </c>
      <c r="G9" s="19">
        <v>4</v>
      </c>
      <c r="H9" s="19">
        <v>35</v>
      </c>
      <c r="I9" s="19">
        <v>17.63</v>
      </c>
      <c r="J9" s="19">
        <v>74</v>
      </c>
      <c r="K9" s="19">
        <v>5</v>
      </c>
      <c r="L9" s="19">
        <v>7.42</v>
      </c>
      <c r="M9" s="5">
        <v>4.5882305555555556</v>
      </c>
      <c r="N9" s="5">
        <v>74.085394444444447</v>
      </c>
      <c r="P9" s="39">
        <v>8</v>
      </c>
      <c r="Q9" s="54" t="s">
        <v>18</v>
      </c>
    </row>
    <row r="10" spans="2:17" ht="15.75" x14ac:dyDescent="0.25">
      <c r="B10" s="18" t="s">
        <v>65</v>
      </c>
      <c r="C10" s="18" t="s">
        <v>259</v>
      </c>
      <c r="D10" s="19" t="s">
        <v>72</v>
      </c>
      <c r="E10" s="18" t="s">
        <v>61</v>
      </c>
      <c r="F10" s="18" t="s">
        <v>8</v>
      </c>
      <c r="G10" s="19">
        <v>4</v>
      </c>
      <c r="H10" s="19">
        <v>35</v>
      </c>
      <c r="I10" s="19">
        <v>23.99</v>
      </c>
      <c r="J10" s="19">
        <v>74</v>
      </c>
      <c r="K10" s="19">
        <v>4</v>
      </c>
      <c r="L10" s="19">
        <v>11.72</v>
      </c>
      <c r="M10" s="5">
        <v>4.5899972222222223</v>
      </c>
      <c r="N10" s="5">
        <v>74.069922222222218</v>
      </c>
      <c r="P10" s="39">
        <v>9</v>
      </c>
      <c r="Q10" s="54" t="s">
        <v>4</v>
      </c>
    </row>
    <row r="11" spans="2:17" ht="15.75" x14ac:dyDescent="0.25">
      <c r="B11" s="18" t="s">
        <v>67</v>
      </c>
      <c r="C11" s="18" t="s">
        <v>260</v>
      </c>
      <c r="D11" s="19" t="s">
        <v>72</v>
      </c>
      <c r="E11" s="18" t="s">
        <v>61</v>
      </c>
      <c r="F11" s="18" t="s">
        <v>15</v>
      </c>
      <c r="G11" s="19">
        <v>4</v>
      </c>
      <c r="H11" s="19">
        <v>34</v>
      </c>
      <c r="I11" s="19">
        <v>11.05</v>
      </c>
      <c r="J11" s="19">
        <v>74</v>
      </c>
      <c r="K11" s="19">
        <v>5</v>
      </c>
      <c r="L11" s="19">
        <v>0.62</v>
      </c>
      <c r="M11" s="5">
        <v>4.5697361111111112</v>
      </c>
      <c r="N11" s="5">
        <v>74.083505555555547</v>
      </c>
      <c r="P11" s="39">
        <v>10</v>
      </c>
      <c r="Q11" t="s">
        <v>2</v>
      </c>
    </row>
    <row r="12" spans="2:17" ht="15.75" x14ac:dyDescent="0.25">
      <c r="B12" s="18" t="s">
        <v>144</v>
      </c>
      <c r="C12" s="18" t="s">
        <v>261</v>
      </c>
      <c r="D12" s="19" t="s">
        <v>72</v>
      </c>
      <c r="E12" s="18" t="s">
        <v>61</v>
      </c>
      <c r="F12" s="18" t="s">
        <v>15</v>
      </c>
      <c r="G12" s="19">
        <v>4</v>
      </c>
      <c r="H12" s="19">
        <v>33</v>
      </c>
      <c r="I12" s="19">
        <v>9.6</v>
      </c>
      <c r="J12" s="19">
        <v>74</v>
      </c>
      <c r="K12" s="19">
        <v>5</v>
      </c>
      <c r="L12" s="19">
        <v>40.47</v>
      </c>
      <c r="M12" s="5">
        <v>4.5526666666666662</v>
      </c>
      <c r="N12" s="5">
        <v>74.094574999999992</v>
      </c>
      <c r="P12" s="39">
        <v>11</v>
      </c>
      <c r="Q12" s="54" t="s">
        <v>3</v>
      </c>
    </row>
    <row r="13" spans="2:17" ht="15.75" x14ac:dyDescent="0.25">
      <c r="B13" s="18" t="s">
        <v>147</v>
      </c>
      <c r="C13" s="18" t="s">
        <v>148</v>
      </c>
      <c r="D13" s="19" t="s">
        <v>72</v>
      </c>
      <c r="E13" s="18" t="s">
        <v>146</v>
      </c>
      <c r="F13" s="18" t="s">
        <v>1</v>
      </c>
      <c r="G13" s="19">
        <v>4</v>
      </c>
      <c r="H13" s="19">
        <v>38</v>
      </c>
      <c r="I13" s="19">
        <v>5.72</v>
      </c>
      <c r="J13" s="19">
        <v>74</v>
      </c>
      <c r="K13" s="19">
        <v>12</v>
      </c>
      <c r="L13" s="19">
        <v>21.83</v>
      </c>
      <c r="M13" s="5">
        <v>4.6349222222222215</v>
      </c>
      <c r="N13" s="5">
        <v>74.206063888888892</v>
      </c>
      <c r="P13" s="39">
        <v>12</v>
      </c>
      <c r="Q13" s="54" t="s">
        <v>12</v>
      </c>
    </row>
    <row r="14" spans="2:17" ht="15.75" x14ac:dyDescent="0.25">
      <c r="B14" s="18" t="s">
        <v>161</v>
      </c>
      <c r="C14" s="18" t="s">
        <v>262</v>
      </c>
      <c r="D14" s="19" t="s">
        <v>72</v>
      </c>
      <c r="E14" s="18" t="s">
        <v>146</v>
      </c>
      <c r="F14" s="18" t="s">
        <v>162</v>
      </c>
      <c r="G14" s="19">
        <v>4</v>
      </c>
      <c r="H14" s="19">
        <v>37</v>
      </c>
      <c r="I14" s="19">
        <v>0.56000000000000005</v>
      </c>
      <c r="J14" s="19">
        <v>74</v>
      </c>
      <c r="K14" s="19">
        <v>9</v>
      </c>
      <c r="L14" s="19">
        <v>13.75</v>
      </c>
      <c r="M14" s="5">
        <v>4.6168222222222228</v>
      </c>
      <c r="N14" s="5">
        <v>74.153819444444451</v>
      </c>
      <c r="P14" s="39">
        <v>13</v>
      </c>
      <c r="Q14" s="54" t="s">
        <v>13</v>
      </c>
    </row>
    <row r="15" spans="2:17" ht="15.75" x14ac:dyDescent="0.25">
      <c r="B15" s="18" t="s">
        <v>163</v>
      </c>
      <c r="C15" s="18" t="s">
        <v>164</v>
      </c>
      <c r="D15" s="19" t="s">
        <v>72</v>
      </c>
      <c r="E15" s="18" t="s">
        <v>146</v>
      </c>
      <c r="F15" s="18" t="s">
        <v>162</v>
      </c>
      <c r="G15" s="19">
        <v>4</v>
      </c>
      <c r="H15" s="19">
        <v>39</v>
      </c>
      <c r="I15" s="19">
        <v>7.18</v>
      </c>
      <c r="J15" s="19">
        <v>74</v>
      </c>
      <c r="K15" s="19">
        <v>8</v>
      </c>
      <c r="L15" s="19">
        <v>55.47</v>
      </c>
      <c r="M15" s="5">
        <v>4.651994444444445</v>
      </c>
      <c r="N15" s="5">
        <v>74.14874166666668</v>
      </c>
      <c r="P15" s="39">
        <v>14</v>
      </c>
      <c r="Q15" s="54" t="s">
        <v>16</v>
      </c>
    </row>
    <row r="16" spans="2:17" ht="15.75" x14ac:dyDescent="0.25">
      <c r="B16" s="18" t="s">
        <v>165</v>
      </c>
      <c r="C16" s="18" t="s">
        <v>166</v>
      </c>
      <c r="D16" s="19" t="s">
        <v>72</v>
      </c>
      <c r="E16" s="18" t="s">
        <v>146</v>
      </c>
      <c r="F16" s="18" t="s">
        <v>162</v>
      </c>
      <c r="G16" s="19">
        <v>4</v>
      </c>
      <c r="H16" s="19">
        <v>36</v>
      </c>
      <c r="I16" s="19">
        <v>23.26</v>
      </c>
      <c r="J16" s="19">
        <v>74</v>
      </c>
      <c r="K16" s="19">
        <v>8</v>
      </c>
      <c r="L16" s="19">
        <v>15.12</v>
      </c>
      <c r="M16" s="5">
        <v>4.6064611111111109</v>
      </c>
      <c r="N16" s="5">
        <v>74.137533333333337</v>
      </c>
      <c r="P16" s="39">
        <v>15</v>
      </c>
      <c r="Q16" s="54" t="s">
        <v>5</v>
      </c>
    </row>
    <row r="17" spans="1:26" ht="15.75" x14ac:dyDescent="0.25">
      <c r="B17" s="18" t="s">
        <v>191</v>
      </c>
      <c r="C17" s="18" t="s">
        <v>263</v>
      </c>
      <c r="D17" s="19" t="s">
        <v>72</v>
      </c>
      <c r="E17" s="18" t="s">
        <v>146</v>
      </c>
      <c r="F17" s="18" t="s">
        <v>18</v>
      </c>
      <c r="G17" s="19">
        <v>4</v>
      </c>
      <c r="H17" s="19">
        <v>40</v>
      </c>
      <c r="I17" s="19">
        <v>17.97</v>
      </c>
      <c r="J17" s="19">
        <v>74</v>
      </c>
      <c r="K17" s="19">
        <v>8</v>
      </c>
      <c r="L17" s="19">
        <v>45.75</v>
      </c>
      <c r="M17" s="5">
        <v>4.6716583333333332</v>
      </c>
      <c r="N17" s="5">
        <v>74.146041666666676</v>
      </c>
      <c r="P17" s="39">
        <v>16</v>
      </c>
      <c r="Q17" s="54" t="s">
        <v>246</v>
      </c>
    </row>
    <row r="18" spans="1:26" ht="15.75" x14ac:dyDescent="0.25">
      <c r="B18" s="18" t="s">
        <v>216</v>
      </c>
      <c r="C18" s="18" t="s">
        <v>243</v>
      </c>
      <c r="D18" s="19" t="s">
        <v>72</v>
      </c>
      <c r="E18" s="18" t="s">
        <v>215</v>
      </c>
      <c r="F18" s="18" t="s">
        <v>4</v>
      </c>
      <c r="G18" s="19">
        <v>4</v>
      </c>
      <c r="H18" s="19">
        <v>39</v>
      </c>
      <c r="I18" s="19">
        <v>12.99</v>
      </c>
      <c r="J18" s="19">
        <v>74</v>
      </c>
      <c r="K18" s="19">
        <v>3</v>
      </c>
      <c r="L18" s="19">
        <v>55.93</v>
      </c>
      <c r="M18" s="5">
        <v>4.6536083333333336</v>
      </c>
      <c r="N18" s="5">
        <v>74.065536111111115</v>
      </c>
      <c r="P18" s="39">
        <v>17</v>
      </c>
      <c r="Q18" s="54" t="s">
        <v>6</v>
      </c>
    </row>
    <row r="19" spans="1:26" ht="15.75" x14ac:dyDescent="0.25">
      <c r="B19" s="18" t="s">
        <v>217</v>
      </c>
      <c r="C19" s="18" t="s">
        <v>242</v>
      </c>
      <c r="D19" s="19" t="s">
        <v>72</v>
      </c>
      <c r="E19" s="18" t="s">
        <v>215</v>
      </c>
      <c r="F19" s="18" t="s">
        <v>2</v>
      </c>
      <c r="G19" s="19">
        <v>4</v>
      </c>
      <c r="H19" s="19">
        <v>42</v>
      </c>
      <c r="I19" s="19">
        <v>41.2</v>
      </c>
      <c r="J19" s="19">
        <v>74</v>
      </c>
      <c r="K19" s="19">
        <v>6</v>
      </c>
      <c r="L19" s="19">
        <v>35.270000000000003</v>
      </c>
      <c r="M19" s="5">
        <v>4.711444444444445</v>
      </c>
      <c r="N19" s="5">
        <v>74.109797222222213</v>
      </c>
      <c r="P19" s="39">
        <v>18</v>
      </c>
      <c r="Q19" s="54" t="s">
        <v>7</v>
      </c>
    </row>
    <row r="20" spans="1:26" ht="15.75" x14ac:dyDescent="0.25">
      <c r="B20" s="18" t="s">
        <v>218</v>
      </c>
      <c r="C20" s="18" t="s">
        <v>264</v>
      </c>
      <c r="D20" s="19" t="s">
        <v>72</v>
      </c>
      <c r="E20" s="18" t="s">
        <v>215</v>
      </c>
      <c r="F20" s="18" t="s">
        <v>2</v>
      </c>
      <c r="G20" s="19">
        <v>4</v>
      </c>
      <c r="H20" s="19">
        <v>42</v>
      </c>
      <c r="I20" s="19">
        <v>54.72</v>
      </c>
      <c r="J20" s="19">
        <v>74</v>
      </c>
      <c r="K20" s="19">
        <v>8</v>
      </c>
      <c r="L20" s="19">
        <v>27.22</v>
      </c>
      <c r="M20" s="5">
        <v>4.7152000000000003</v>
      </c>
      <c r="N20" s="5">
        <v>74.140894444444456</v>
      </c>
      <c r="P20" s="39">
        <v>19</v>
      </c>
      <c r="Q20" s="54" t="s">
        <v>9</v>
      </c>
    </row>
    <row r="21" spans="1:26" ht="15.75" x14ac:dyDescent="0.25">
      <c r="B21" s="18" t="s">
        <v>229</v>
      </c>
      <c r="C21" s="18" t="s">
        <v>265</v>
      </c>
      <c r="D21" s="19" t="s">
        <v>72</v>
      </c>
      <c r="E21" s="18" t="s">
        <v>215</v>
      </c>
      <c r="F21" s="18" t="s">
        <v>3</v>
      </c>
      <c r="G21" s="19">
        <v>4</v>
      </c>
      <c r="H21" s="19">
        <v>45</v>
      </c>
      <c r="I21" s="19">
        <v>12.69</v>
      </c>
      <c r="J21" s="19">
        <v>74</v>
      </c>
      <c r="K21" s="19">
        <v>5</v>
      </c>
      <c r="L21" s="19">
        <v>31</v>
      </c>
      <c r="M21" s="5">
        <v>4.7535249999999998</v>
      </c>
      <c r="N21" s="5">
        <v>74.091944444444437</v>
      </c>
      <c r="P21" s="39">
        <v>20</v>
      </c>
      <c r="Q21" s="54" t="s">
        <v>11</v>
      </c>
    </row>
    <row r="22" spans="1:26" ht="15.75" x14ac:dyDescent="0.25">
      <c r="B22" s="18" t="s">
        <v>234</v>
      </c>
      <c r="C22" s="18" t="s">
        <v>241</v>
      </c>
      <c r="D22" s="19" t="s">
        <v>72</v>
      </c>
      <c r="E22" s="18" t="s">
        <v>215</v>
      </c>
      <c r="F22" s="18" t="s">
        <v>12</v>
      </c>
      <c r="G22" s="19">
        <v>4</v>
      </c>
      <c r="H22" s="19">
        <v>44</v>
      </c>
      <c r="I22" s="19">
        <v>33.33</v>
      </c>
      <c r="J22" s="19">
        <v>74</v>
      </c>
      <c r="K22" s="19">
        <v>1</v>
      </c>
      <c r="L22" s="19">
        <v>14.74</v>
      </c>
      <c r="M22" s="5">
        <v>4.7425916666666668</v>
      </c>
      <c r="N22" s="5">
        <v>74.020761111111113</v>
      </c>
      <c r="P22" s="39"/>
    </row>
    <row r="26" spans="1:26" x14ac:dyDescent="0.25">
      <c r="F26" t="s">
        <v>0</v>
      </c>
    </row>
    <row r="27" spans="1:26" ht="30" x14ac:dyDescent="0.25">
      <c r="A27" s="6"/>
      <c r="B27" s="17" t="s">
        <v>62</v>
      </c>
      <c r="C27" s="2" t="s">
        <v>63</v>
      </c>
      <c r="D27" s="2" t="s">
        <v>266</v>
      </c>
      <c r="E27" s="2" t="s">
        <v>267</v>
      </c>
      <c r="F27" s="2" t="s">
        <v>282</v>
      </c>
      <c r="G27" s="2" t="s">
        <v>268</v>
      </c>
    </row>
    <row r="28" spans="1:26" ht="15.75" x14ac:dyDescent="0.25">
      <c r="A28" s="9">
        <v>1</v>
      </c>
      <c r="B28" s="18" t="s">
        <v>82</v>
      </c>
      <c r="C28" s="18" t="s">
        <v>254</v>
      </c>
      <c r="D28" s="5">
        <v>4.5624750000000001</v>
      </c>
      <c r="E28" s="5">
        <v>74.125808333333325</v>
      </c>
      <c r="F28" s="8">
        <v>16393</v>
      </c>
      <c r="G28" s="7">
        <f>SQRT(($D$31-D28)^2+($E$31-E28)^2)</f>
        <v>4.6450346016569414E-3</v>
      </c>
    </row>
    <row r="29" spans="1:26" ht="15.75" x14ac:dyDescent="0.25">
      <c r="A29" s="9">
        <v>2</v>
      </c>
      <c r="B29" s="18" t="s">
        <v>81</v>
      </c>
      <c r="C29" s="18" t="s">
        <v>257</v>
      </c>
      <c r="D29" s="5">
        <v>4.5714277777777772</v>
      </c>
      <c r="E29" s="5">
        <v>74.128288888888889</v>
      </c>
      <c r="F29" s="8">
        <v>16393</v>
      </c>
      <c r="G29" s="7">
        <f>SQRT(($D$31-D29)^2+($E$31-E29)^2)</f>
        <v>4.6450346016645308E-3</v>
      </c>
    </row>
    <row r="30" spans="1:26" x14ac:dyDescent="0.25">
      <c r="D30">
        <f>SUMPRODUCT(D28:D29,F28:F29)</f>
        <v>149732.06823611111</v>
      </c>
      <c r="E30">
        <f>SUMPRODUCT(E28:E29,F28:F29)</f>
        <v>2430329.4157638885</v>
      </c>
      <c r="F30" s="10">
        <f>SUM(F28:F29)</f>
        <v>32786</v>
      </c>
    </row>
    <row r="31" spans="1:26" x14ac:dyDescent="0.25">
      <c r="C31" s="11" t="s">
        <v>271</v>
      </c>
      <c r="D31" s="12">
        <f>D30/F30</f>
        <v>4.5669513888888886</v>
      </c>
      <c r="E31" s="12">
        <f>E30/F30</f>
        <v>74.127048611111093</v>
      </c>
      <c r="F31" s="44" t="s">
        <v>272</v>
      </c>
      <c r="G31" s="44"/>
      <c r="H31" s="13" t="s">
        <v>267</v>
      </c>
      <c r="I31" s="45" t="s">
        <v>276</v>
      </c>
      <c r="J31" s="46"/>
    </row>
    <row r="32" spans="1:26" ht="15.75" x14ac:dyDescent="0.25">
      <c r="C32" s="13"/>
      <c r="D32" s="14" t="s">
        <v>273</v>
      </c>
      <c r="E32" s="14" t="s">
        <v>274</v>
      </c>
      <c r="F32" s="15"/>
      <c r="G32" s="16"/>
      <c r="H32" s="6"/>
      <c r="I32" s="7" t="s">
        <v>275</v>
      </c>
      <c r="J32" s="8">
        <f>SUMPRODUCT(F28:F29,G28:G29)</f>
        <v>152.2921044500489</v>
      </c>
      <c r="P32" s="48" t="s">
        <v>74</v>
      </c>
      <c r="Q32" s="47" t="s">
        <v>385</v>
      </c>
      <c r="R32" s="1" t="s">
        <v>248</v>
      </c>
      <c r="S32" s="1" t="s">
        <v>249</v>
      </c>
      <c r="T32" s="49" t="s">
        <v>248</v>
      </c>
      <c r="U32" s="50"/>
      <c r="V32" s="51"/>
      <c r="W32" s="49" t="s">
        <v>249</v>
      </c>
      <c r="X32" s="50"/>
      <c r="Y32" s="51"/>
      <c r="Z32" s="48" t="s">
        <v>388</v>
      </c>
    </row>
    <row r="33" spans="1:26" ht="15.75" x14ac:dyDescent="0.25">
      <c r="P33" s="48"/>
      <c r="Q33" s="47"/>
      <c r="R33" s="1" t="s">
        <v>253</v>
      </c>
      <c r="S33" s="1" t="s">
        <v>253</v>
      </c>
      <c r="T33" s="2" t="s">
        <v>250</v>
      </c>
      <c r="U33" s="2" t="s">
        <v>251</v>
      </c>
      <c r="V33" s="2" t="s">
        <v>252</v>
      </c>
      <c r="W33" s="2" t="s">
        <v>250</v>
      </c>
      <c r="X33" s="2" t="s">
        <v>251</v>
      </c>
      <c r="Y33" s="2" t="s">
        <v>252</v>
      </c>
      <c r="Z33" s="48"/>
    </row>
    <row r="34" spans="1:26" x14ac:dyDescent="0.25">
      <c r="F34" t="s">
        <v>84</v>
      </c>
      <c r="P34" s="18" t="s">
        <v>0</v>
      </c>
      <c r="Q34" s="11" t="s">
        <v>271</v>
      </c>
      <c r="R34" s="12">
        <v>4.5669513888888886</v>
      </c>
      <c r="S34" s="12">
        <v>74.127048611111093</v>
      </c>
      <c r="T34" s="41">
        <f>INT(R34)</f>
        <v>4</v>
      </c>
      <c r="U34" s="42">
        <f>INT((R34-T34)*60)</f>
        <v>34</v>
      </c>
      <c r="V34" s="19">
        <f>ROUND(((R34-T34)*60-U34)*60, 2)</f>
        <v>1.02</v>
      </c>
      <c r="W34" s="41">
        <f>INT(S34)</f>
        <v>74</v>
      </c>
      <c r="X34" s="19">
        <f>INT((S34-W34)*60)</f>
        <v>7</v>
      </c>
      <c r="Y34" s="19">
        <f>ROUND(((S34-W34)*60-X34)*60, 2)</f>
        <v>37.369999999999997</v>
      </c>
      <c r="Z34" s="18" t="str">
        <f>T34&amp;"°"&amp;U34&amp;"′"&amp;SUBSTITUTE(V34,",",".")&amp;"″"&amp;"N "&amp;W34&amp;"°"&amp;X34&amp;"′"&amp;SUBSTITUTE(Y34,",",".")&amp;"″"&amp;"W"</f>
        <v>4°34′1.02″N 74°7′37.37″W</v>
      </c>
    </row>
    <row r="35" spans="1:26" ht="15.75" x14ac:dyDescent="0.25">
      <c r="A35" s="6"/>
      <c r="B35" s="3" t="s">
        <v>62</v>
      </c>
      <c r="C35" s="2" t="s">
        <v>63</v>
      </c>
      <c r="D35" s="2" t="s">
        <v>266</v>
      </c>
      <c r="E35" s="2" t="s">
        <v>267</v>
      </c>
      <c r="F35" s="2" t="s">
        <v>282</v>
      </c>
      <c r="G35" s="2" t="s">
        <v>268</v>
      </c>
      <c r="P35" s="18" t="s">
        <v>10</v>
      </c>
      <c r="Q35" s="11" t="s">
        <v>277</v>
      </c>
      <c r="R35" s="12">
        <v>4.5522435185185186</v>
      </c>
      <c r="S35" s="12">
        <v>74.143378703703704</v>
      </c>
      <c r="T35" s="41">
        <f t="shared" ref="T35:T39" si="0">INT(R35)</f>
        <v>4</v>
      </c>
      <c r="U35" s="42">
        <f t="shared" ref="U35:U39" si="1">INT((R35-T35)*60)</f>
        <v>33</v>
      </c>
      <c r="V35" s="19">
        <f t="shared" ref="V35:V39" si="2">ROUND(((R35-T35)*60-U35)*60, 2)</f>
        <v>8.08</v>
      </c>
      <c r="W35" s="41">
        <f t="shared" ref="W35:W39" si="3">INT(S35)</f>
        <v>74</v>
      </c>
      <c r="X35" s="19">
        <f t="shared" ref="X35:X39" si="4">INT((S35-W35)*60)</f>
        <v>8</v>
      </c>
      <c r="Y35" s="19">
        <f t="shared" ref="Y35:Y39" si="5">ROUND(((S35-W35)*60-X35)*60, 2)</f>
        <v>36.159999999999997</v>
      </c>
      <c r="Z35" s="18" t="str">
        <f t="shared" ref="Z35:Z39" si="6">T35&amp;"°"&amp;U35&amp;"′"&amp;SUBSTITUTE(V35,",",".")&amp;"″"&amp;"N "&amp;W35&amp;"°"&amp;X35&amp;"′"&amp;SUBSTITUTE(Y35,",",".")&amp;"″"&amp;"W"</f>
        <v>4°33′8.08″N 74°8′36.16″W</v>
      </c>
    </row>
    <row r="36" spans="1:26" ht="15.75" x14ac:dyDescent="0.25">
      <c r="A36" s="9">
        <v>1</v>
      </c>
      <c r="B36" s="18" t="s">
        <v>80</v>
      </c>
      <c r="C36" s="7" t="s">
        <v>269</v>
      </c>
      <c r="D36" s="5">
        <v>4.5595527777777773</v>
      </c>
      <c r="E36" s="5">
        <v>74.13870277777778</v>
      </c>
      <c r="F36" s="8">
        <v>16393</v>
      </c>
      <c r="G36" s="7">
        <f>SQRT(($D$40-D36)^2+($E$40-E36)^2)</f>
        <v>8.676955352183208E-3</v>
      </c>
      <c r="P36" s="18" t="s">
        <v>244</v>
      </c>
      <c r="Q36" s="11" t="s">
        <v>278</v>
      </c>
      <c r="R36" s="12">
        <v>4.589768055555556</v>
      </c>
      <c r="S36" s="12">
        <v>74.088699999999989</v>
      </c>
      <c r="T36" s="41">
        <f t="shared" si="0"/>
        <v>4</v>
      </c>
      <c r="U36" s="42">
        <f t="shared" si="1"/>
        <v>35</v>
      </c>
      <c r="V36" s="19">
        <f t="shared" si="2"/>
        <v>23.17</v>
      </c>
      <c r="W36" s="41">
        <f t="shared" si="3"/>
        <v>74</v>
      </c>
      <c r="X36" s="19">
        <f t="shared" si="4"/>
        <v>5</v>
      </c>
      <c r="Y36" s="19">
        <f t="shared" si="5"/>
        <v>19.32</v>
      </c>
      <c r="Z36" s="18" t="str">
        <f t="shared" si="6"/>
        <v>4°35′23.17″N 74°5′19.32″W</v>
      </c>
    </row>
    <row r="37" spans="1:26" ht="15.75" x14ac:dyDescent="0.25">
      <c r="A37" s="9">
        <v>2</v>
      </c>
      <c r="B37" s="18" t="s">
        <v>85</v>
      </c>
      <c r="C37" s="7" t="s">
        <v>270</v>
      </c>
      <c r="D37" s="5">
        <v>4.5521444444444441</v>
      </c>
      <c r="E37" s="5">
        <v>74.144827777777778</v>
      </c>
      <c r="F37" s="8">
        <v>16393</v>
      </c>
      <c r="G37" s="7">
        <f>SQRT(($D$40-D37)^2+($E$40-E37)^2)</f>
        <v>1.4524570025674411E-3</v>
      </c>
      <c r="P37" s="18" t="s">
        <v>15</v>
      </c>
      <c r="Q37" s="11" t="s">
        <v>371</v>
      </c>
      <c r="R37" s="12">
        <v>4.5612013888888878</v>
      </c>
      <c r="S37" s="12">
        <v>74.089040277777769</v>
      </c>
      <c r="T37" s="41">
        <f t="shared" si="0"/>
        <v>4</v>
      </c>
      <c r="U37" s="42">
        <f t="shared" si="1"/>
        <v>33</v>
      </c>
      <c r="V37" s="19">
        <f t="shared" si="2"/>
        <v>40.32</v>
      </c>
      <c r="W37" s="41">
        <f t="shared" si="3"/>
        <v>74</v>
      </c>
      <c r="X37" s="19">
        <f t="shared" si="4"/>
        <v>5</v>
      </c>
      <c r="Y37" s="19">
        <f t="shared" si="5"/>
        <v>20.54</v>
      </c>
      <c r="Z37" s="18" t="str">
        <f t="shared" si="6"/>
        <v>4°33′40.32″N 74°5′20.54″W</v>
      </c>
    </row>
    <row r="38" spans="1:26" ht="15.75" x14ac:dyDescent="0.25">
      <c r="A38" s="9">
        <v>3</v>
      </c>
      <c r="B38" s="18" t="s">
        <v>79</v>
      </c>
      <c r="C38" s="7" t="s">
        <v>270</v>
      </c>
      <c r="D38" s="5">
        <v>4.5450333333333335</v>
      </c>
      <c r="E38" s="5">
        <v>74.146605555555567</v>
      </c>
      <c r="F38" s="8">
        <v>16393</v>
      </c>
      <c r="G38" s="7">
        <f>SQRT(($D$40-D38)^2+($E$40-E38)^2)</f>
        <v>7.8993254951633431E-3</v>
      </c>
      <c r="P38" s="18" t="s">
        <v>162</v>
      </c>
      <c r="Q38" s="11" t="s">
        <v>279</v>
      </c>
      <c r="R38" s="12">
        <v>4.6250925925925932</v>
      </c>
      <c r="S38" s="12">
        <v>74.146698148148161</v>
      </c>
      <c r="T38" s="41">
        <f t="shared" si="0"/>
        <v>4</v>
      </c>
      <c r="U38" s="42">
        <f t="shared" si="1"/>
        <v>37</v>
      </c>
      <c r="V38" s="19">
        <f t="shared" si="2"/>
        <v>30.33</v>
      </c>
      <c r="W38" s="41">
        <f t="shared" si="3"/>
        <v>74</v>
      </c>
      <c r="X38" s="19">
        <f t="shared" si="4"/>
        <v>8</v>
      </c>
      <c r="Y38" s="19">
        <f t="shared" si="5"/>
        <v>48.11</v>
      </c>
      <c r="Z38" s="18" t="str">
        <f t="shared" si="6"/>
        <v>4°37′30.33″N 74°8′48.11″W</v>
      </c>
    </row>
    <row r="39" spans="1:26" x14ac:dyDescent="0.25">
      <c r="D39">
        <f>SUMPRODUCT(D36:D38,F36:F38)</f>
        <v>223874.78399722223</v>
      </c>
      <c r="E39">
        <f>SUMPRODUCT(E36:E38,F36:F38)</f>
        <v>3646297.2212694446</v>
      </c>
      <c r="F39" s="10">
        <f>SUM(F36:F38)</f>
        <v>49179</v>
      </c>
      <c r="P39" s="18" t="s">
        <v>2</v>
      </c>
      <c r="Q39" s="11" t="s">
        <v>372</v>
      </c>
      <c r="R39" s="12">
        <v>4.7133222222222235</v>
      </c>
      <c r="S39" s="12">
        <v>74.125345833333341</v>
      </c>
      <c r="T39" s="41">
        <f t="shared" si="0"/>
        <v>4</v>
      </c>
      <c r="U39" s="42">
        <f t="shared" si="1"/>
        <v>42</v>
      </c>
      <c r="V39" s="19">
        <f t="shared" si="2"/>
        <v>47.96</v>
      </c>
      <c r="W39" s="41">
        <f t="shared" si="3"/>
        <v>74</v>
      </c>
      <c r="X39" s="19">
        <f t="shared" si="4"/>
        <v>7</v>
      </c>
      <c r="Y39" s="19">
        <f t="shared" si="5"/>
        <v>31.25</v>
      </c>
      <c r="Z39" s="18" t="str">
        <f t="shared" si="6"/>
        <v>4°42′47.96″N 74°7′31.25″W</v>
      </c>
    </row>
    <row r="40" spans="1:26" x14ac:dyDescent="0.25">
      <c r="C40" s="11" t="s">
        <v>277</v>
      </c>
      <c r="D40" s="12">
        <f>D39/F39</f>
        <v>4.5522435185185186</v>
      </c>
      <c r="E40" s="12">
        <f>E39/F39</f>
        <v>74.143378703703704</v>
      </c>
      <c r="F40" s="44" t="s">
        <v>272</v>
      </c>
      <c r="G40" s="44"/>
      <c r="H40" s="13" t="s">
        <v>267</v>
      </c>
      <c r="I40" s="45" t="s">
        <v>276</v>
      </c>
      <c r="J40" s="46"/>
    </row>
    <row r="41" spans="1:26" ht="15.75" x14ac:dyDescent="0.25">
      <c r="C41" s="13"/>
      <c r="D41" s="14" t="s">
        <v>273</v>
      </c>
      <c r="E41" s="14" t="s">
        <v>274</v>
      </c>
      <c r="F41" s="15"/>
      <c r="G41" s="16"/>
      <c r="H41" s="6"/>
      <c r="I41" s="7" t="s">
        <v>275</v>
      </c>
      <c r="J41" s="8">
        <f>SUMPRODUCT(F36:F38,G36:G38)</f>
        <v>295.54509957364007</v>
      </c>
    </row>
    <row r="43" spans="1:26" x14ac:dyDescent="0.25">
      <c r="F43" t="s">
        <v>244</v>
      </c>
      <c r="W43" t="s">
        <v>386</v>
      </c>
    </row>
    <row r="44" spans="1:26" ht="15.75" x14ac:dyDescent="0.25">
      <c r="A44" s="6"/>
      <c r="B44" s="3" t="s">
        <v>62</v>
      </c>
      <c r="C44" s="2" t="s">
        <v>63</v>
      </c>
      <c r="D44" s="2" t="s">
        <v>266</v>
      </c>
      <c r="E44" s="2" t="s">
        <v>267</v>
      </c>
      <c r="F44" s="2" t="s">
        <v>282</v>
      </c>
      <c r="G44" s="2" t="s">
        <v>268</v>
      </c>
      <c r="W44" t="s">
        <v>386</v>
      </c>
    </row>
    <row r="45" spans="1:26" ht="15.75" x14ac:dyDescent="0.25">
      <c r="A45" s="9">
        <v>1</v>
      </c>
      <c r="B45" s="18" t="s">
        <v>120</v>
      </c>
      <c r="C45" s="7" t="s">
        <v>269</v>
      </c>
      <c r="D45" s="5">
        <v>4.5913055555555555</v>
      </c>
      <c r="E45" s="5">
        <v>74.092005555555545</v>
      </c>
      <c r="F45" s="8">
        <v>16393</v>
      </c>
      <c r="G45" s="7">
        <f>SQRT(($D$48-D45)^2+($E$48-E45)^2)</f>
        <v>3.6456280365484237E-3</v>
      </c>
      <c r="W45" t="s">
        <v>386</v>
      </c>
    </row>
    <row r="46" spans="1:26" ht="15.75" x14ac:dyDescent="0.25">
      <c r="A46" s="9">
        <v>2</v>
      </c>
      <c r="B46" s="18" t="s">
        <v>66</v>
      </c>
      <c r="C46" s="7" t="s">
        <v>270</v>
      </c>
      <c r="D46" s="5">
        <v>4.5882305555555556</v>
      </c>
      <c r="E46" s="5">
        <v>74.085394444444447</v>
      </c>
      <c r="F46" s="8">
        <v>16393</v>
      </c>
      <c r="G46" s="7">
        <f>SQRT(($D$48-D46)^2+($E$48-E46)^2)</f>
        <v>3.6456280365359133E-3</v>
      </c>
      <c r="W46" t="s">
        <v>386</v>
      </c>
    </row>
    <row r="47" spans="1:26" x14ac:dyDescent="0.25">
      <c r="D47">
        <f>SUMPRODUCT(D45:D46,F45:F46)</f>
        <v>150480.13546944445</v>
      </c>
      <c r="E47">
        <f>SUMPRODUCT(E45:E46,F45:F46)</f>
        <v>2429072.1181999994</v>
      </c>
      <c r="F47" s="10">
        <f>SUM(F45:F46)</f>
        <v>32786</v>
      </c>
      <c r="W47" t="s">
        <v>386</v>
      </c>
    </row>
    <row r="48" spans="1:26" x14ac:dyDescent="0.25">
      <c r="C48" s="11" t="s">
        <v>278</v>
      </c>
      <c r="D48" s="12">
        <f>D47/F47</f>
        <v>4.589768055555556</v>
      </c>
      <c r="E48" s="12">
        <f>E47/F47</f>
        <v>74.088699999999989</v>
      </c>
      <c r="F48" s="44" t="s">
        <v>272</v>
      </c>
      <c r="G48" s="44"/>
      <c r="H48" s="13" t="s">
        <v>267</v>
      </c>
      <c r="I48" s="45" t="s">
        <v>276</v>
      </c>
      <c r="J48" s="46"/>
      <c r="W48" t="s">
        <v>386</v>
      </c>
    </row>
    <row r="49" spans="1:10" ht="15.75" x14ac:dyDescent="0.25">
      <c r="C49" s="13"/>
      <c r="D49" s="14" t="s">
        <v>273</v>
      </c>
      <c r="E49" s="14" t="s">
        <v>274</v>
      </c>
      <c r="F49" s="15"/>
      <c r="G49" s="16"/>
      <c r="H49" s="6"/>
      <c r="I49" s="7" t="s">
        <v>275</v>
      </c>
      <c r="J49" s="8">
        <f>SUMPRODUCT(F45:F46,G45:G46)</f>
        <v>119.52556080607152</v>
      </c>
    </row>
    <row r="51" spans="1:10" x14ac:dyDescent="0.25">
      <c r="F51" t="s">
        <v>247</v>
      </c>
    </row>
    <row r="52" spans="1:10" ht="15.75" x14ac:dyDescent="0.25">
      <c r="A52" s="6"/>
      <c r="B52" s="3" t="s">
        <v>62</v>
      </c>
      <c r="C52" s="2" t="s">
        <v>63</v>
      </c>
      <c r="D52" s="2" t="s">
        <v>266</v>
      </c>
      <c r="E52" s="2" t="s">
        <v>267</v>
      </c>
      <c r="F52" s="2" t="s">
        <v>282</v>
      </c>
      <c r="G52" s="2" t="s">
        <v>268</v>
      </c>
    </row>
    <row r="53" spans="1:10" ht="15.75" x14ac:dyDescent="0.25">
      <c r="A53" s="9">
        <v>1</v>
      </c>
      <c r="B53" s="18" t="s">
        <v>65</v>
      </c>
      <c r="C53" s="7" t="s">
        <v>269</v>
      </c>
      <c r="D53" s="5"/>
      <c r="E53" s="5"/>
      <c r="F53" s="8">
        <v>16393</v>
      </c>
      <c r="G53" s="7"/>
    </row>
    <row r="58" spans="1:10" x14ac:dyDescent="0.25">
      <c r="F58" t="s">
        <v>15</v>
      </c>
    </row>
    <row r="59" spans="1:10" ht="15.75" x14ac:dyDescent="0.25">
      <c r="A59" s="6"/>
      <c r="B59" s="3" t="s">
        <v>62</v>
      </c>
      <c r="C59" s="2" t="s">
        <v>63</v>
      </c>
      <c r="D59" s="2" t="s">
        <v>266</v>
      </c>
      <c r="E59" s="2" t="s">
        <v>267</v>
      </c>
      <c r="F59" s="2" t="s">
        <v>282</v>
      </c>
      <c r="G59" s="2" t="s">
        <v>268</v>
      </c>
    </row>
    <row r="60" spans="1:10" ht="15.75" x14ac:dyDescent="0.25">
      <c r="A60" s="9">
        <v>1</v>
      </c>
      <c r="B60" s="18" t="s">
        <v>67</v>
      </c>
      <c r="C60" s="7" t="s">
        <v>269</v>
      </c>
      <c r="D60" s="5">
        <v>4.5697361111111112</v>
      </c>
      <c r="E60" s="5">
        <v>74.083505555555547</v>
      </c>
      <c r="F60" s="8">
        <v>16393</v>
      </c>
      <c r="G60" s="7">
        <f>SQRT(($D$63-D60)^2+($E$63-E60)^2)</f>
        <v>1.0172248202225327E-2</v>
      </c>
    </row>
    <row r="61" spans="1:10" ht="15.75" x14ac:dyDescent="0.25">
      <c r="A61" s="9">
        <v>2</v>
      </c>
      <c r="B61" s="18" t="s">
        <v>144</v>
      </c>
      <c r="C61" s="7" t="s">
        <v>270</v>
      </c>
      <c r="D61" s="5">
        <v>4.5526666666666662</v>
      </c>
      <c r="E61" s="5">
        <v>74.094574999999992</v>
      </c>
      <c r="F61" s="8">
        <v>16393</v>
      </c>
      <c r="G61" s="7">
        <f>SQRT(($D$63-D61)^2+($E$63-E61)^2)</f>
        <v>1.0172248202223837E-2</v>
      </c>
    </row>
    <row r="62" spans="1:10" x14ac:dyDescent="0.25">
      <c r="D62">
        <f>SUMPRODUCT(D60:D61,F60:F61)</f>
        <v>149543.54873611109</v>
      </c>
      <c r="E62">
        <f>SUMPRODUCT(E60:E61,F60:F61)</f>
        <v>2429083.2745472221</v>
      </c>
      <c r="F62" s="10">
        <f>SUM(F60:F61)</f>
        <v>32786</v>
      </c>
    </row>
    <row r="63" spans="1:10" x14ac:dyDescent="0.25">
      <c r="C63" s="11" t="s">
        <v>371</v>
      </c>
      <c r="D63" s="12">
        <f>D62/F62</f>
        <v>4.5612013888888878</v>
      </c>
      <c r="E63" s="12">
        <f>E62/F62</f>
        <v>74.089040277777769</v>
      </c>
      <c r="F63" s="44" t="s">
        <v>272</v>
      </c>
      <c r="G63" s="44"/>
      <c r="H63" s="13" t="s">
        <v>267</v>
      </c>
      <c r="I63" s="45" t="s">
        <v>276</v>
      </c>
      <c r="J63" s="46"/>
    </row>
    <row r="64" spans="1:10" ht="15.75" x14ac:dyDescent="0.25">
      <c r="C64" s="13"/>
      <c r="D64" s="14" t="s">
        <v>273</v>
      </c>
      <c r="E64" s="14" t="s">
        <v>274</v>
      </c>
      <c r="F64" s="15"/>
      <c r="G64" s="16"/>
      <c r="H64" s="6"/>
      <c r="I64" s="7" t="s">
        <v>275</v>
      </c>
      <c r="J64" s="8">
        <f>SUMPRODUCT(F60:F61,G60:G61)</f>
        <v>333.5073295581351</v>
      </c>
    </row>
    <row r="66" spans="1:10" x14ac:dyDescent="0.25">
      <c r="F66" t="s">
        <v>1</v>
      </c>
    </row>
    <row r="67" spans="1:10" ht="15.75" x14ac:dyDescent="0.25">
      <c r="A67" s="6"/>
      <c r="B67" s="3" t="s">
        <v>62</v>
      </c>
      <c r="C67" s="2" t="s">
        <v>63</v>
      </c>
      <c r="D67" s="2" t="s">
        <v>266</v>
      </c>
      <c r="E67" s="2" t="s">
        <v>267</v>
      </c>
      <c r="F67" s="2" t="s">
        <v>282</v>
      </c>
      <c r="G67" s="2" t="s">
        <v>268</v>
      </c>
    </row>
    <row r="68" spans="1:10" ht="15.75" x14ac:dyDescent="0.25">
      <c r="A68" s="9">
        <v>1</v>
      </c>
      <c r="B68" s="18" t="s">
        <v>147</v>
      </c>
      <c r="C68" s="7" t="s">
        <v>269</v>
      </c>
      <c r="D68" s="5"/>
      <c r="E68" s="5"/>
      <c r="F68" s="8">
        <v>16393</v>
      </c>
      <c r="G68" s="7"/>
    </row>
    <row r="73" spans="1:10" x14ac:dyDescent="0.25">
      <c r="F73" t="s">
        <v>162</v>
      </c>
    </row>
    <row r="74" spans="1:10" ht="15.75" x14ac:dyDescent="0.25">
      <c r="A74" s="6"/>
      <c r="B74" s="3" t="s">
        <v>62</v>
      </c>
      <c r="C74" s="2" t="s">
        <v>63</v>
      </c>
      <c r="D74" s="2" t="s">
        <v>266</v>
      </c>
      <c r="E74" s="2" t="s">
        <v>267</v>
      </c>
      <c r="F74" s="2" t="s">
        <v>282</v>
      </c>
      <c r="G74" s="2" t="s">
        <v>268</v>
      </c>
    </row>
    <row r="75" spans="1:10" ht="15.75" x14ac:dyDescent="0.25">
      <c r="A75" s="9">
        <v>1</v>
      </c>
      <c r="B75" s="18" t="s">
        <v>161</v>
      </c>
      <c r="C75" s="7" t="s">
        <v>269</v>
      </c>
      <c r="D75" s="5">
        <v>4.6168222222222228</v>
      </c>
      <c r="E75" s="5">
        <v>74.153819444444451</v>
      </c>
      <c r="F75" s="8">
        <v>16393</v>
      </c>
      <c r="G75" s="7">
        <f>SQRT(($D$79-D75)^2+($E$79-E75)^2)</f>
        <v>1.0913839242111754E-2</v>
      </c>
    </row>
    <row r="76" spans="1:10" ht="15.75" x14ac:dyDescent="0.25">
      <c r="A76" s="9">
        <v>2</v>
      </c>
      <c r="B76" s="18" t="s">
        <v>163</v>
      </c>
      <c r="C76" s="7" t="s">
        <v>270</v>
      </c>
      <c r="D76" s="5">
        <v>4.651994444444445</v>
      </c>
      <c r="E76" s="5">
        <v>74.14874166666668</v>
      </c>
      <c r="F76" s="8">
        <v>16393</v>
      </c>
      <c r="G76" s="7">
        <f>SQRT(($D$79-D76)^2+($E$79-E76)^2)</f>
        <v>2.6979355088558223E-2</v>
      </c>
    </row>
    <row r="77" spans="1:10" ht="15.75" x14ac:dyDescent="0.25">
      <c r="A77" s="9">
        <v>3</v>
      </c>
      <c r="B77" s="18" t="s">
        <v>165</v>
      </c>
      <c r="C77" s="7" t="s">
        <v>270</v>
      </c>
      <c r="D77" s="5">
        <v>4.6064611111111109</v>
      </c>
      <c r="E77" s="5">
        <v>74.137533333333337</v>
      </c>
      <c r="F77" s="8">
        <v>16393</v>
      </c>
      <c r="G77" s="7">
        <f>SQRT(($D$79-D77)^2+($E$79-E77)^2)</f>
        <v>2.0763572254909116E-2</v>
      </c>
    </row>
    <row r="78" spans="1:10" x14ac:dyDescent="0.25">
      <c r="D78">
        <f>SUMPRODUCT(D75:D77,F75:F77)</f>
        <v>227457.42861111113</v>
      </c>
      <c r="E78">
        <f>SUMPRODUCT(E75:E77,F75:F77)</f>
        <v>3646460.4682277781</v>
      </c>
      <c r="F78" s="10">
        <f>SUM(F75:F77)</f>
        <v>49179</v>
      </c>
    </row>
    <row r="79" spans="1:10" x14ac:dyDescent="0.25">
      <c r="C79" s="11" t="s">
        <v>279</v>
      </c>
      <c r="D79" s="12">
        <f>D78/F78</f>
        <v>4.6250925925925932</v>
      </c>
      <c r="E79" s="12">
        <f>E78/F78</f>
        <v>74.146698148148161</v>
      </c>
      <c r="F79" s="44" t="s">
        <v>272</v>
      </c>
      <c r="G79" s="44"/>
      <c r="H79" s="13" t="s">
        <v>267</v>
      </c>
      <c r="I79" s="45" t="s">
        <v>276</v>
      </c>
      <c r="J79" s="46"/>
    </row>
    <row r="80" spans="1:10" ht="15.75" x14ac:dyDescent="0.25">
      <c r="C80" s="13"/>
      <c r="D80" s="14" t="s">
        <v>273</v>
      </c>
      <c r="E80" s="14" t="s">
        <v>274</v>
      </c>
      <c r="F80" s="15"/>
      <c r="G80" s="16"/>
      <c r="H80" s="6"/>
      <c r="I80" s="7" t="s">
        <v>275</v>
      </c>
      <c r="J80" s="8">
        <f>SUMPRODUCT(F75:F77,G75:G77)</f>
        <v>961.56037463739813</v>
      </c>
    </row>
    <row r="82" spans="1:7" x14ac:dyDescent="0.25">
      <c r="F82" t="s">
        <v>18</v>
      </c>
    </row>
    <row r="83" spans="1:7" ht="15.75" x14ac:dyDescent="0.25">
      <c r="A83" s="6"/>
      <c r="B83" s="3" t="s">
        <v>62</v>
      </c>
      <c r="C83" s="2" t="s">
        <v>63</v>
      </c>
      <c r="D83" s="2" t="s">
        <v>266</v>
      </c>
      <c r="E83" s="2" t="s">
        <v>267</v>
      </c>
      <c r="F83" s="2" t="s">
        <v>282</v>
      </c>
      <c r="G83" s="2" t="s">
        <v>268</v>
      </c>
    </row>
    <row r="84" spans="1:7" ht="15.75" x14ac:dyDescent="0.25">
      <c r="A84" s="9">
        <v>1</v>
      </c>
      <c r="B84" s="18" t="s">
        <v>191</v>
      </c>
      <c r="C84" s="7" t="s">
        <v>269</v>
      </c>
      <c r="D84" s="5"/>
      <c r="E84" s="5"/>
      <c r="F84" s="8">
        <v>16393</v>
      </c>
      <c r="G84" s="7"/>
    </row>
    <row r="89" spans="1:7" x14ac:dyDescent="0.25">
      <c r="F89" t="s">
        <v>214</v>
      </c>
    </row>
    <row r="90" spans="1:7" ht="15.75" x14ac:dyDescent="0.25">
      <c r="A90" s="6"/>
      <c r="B90" s="3" t="s">
        <v>62</v>
      </c>
      <c r="C90" s="2" t="s">
        <v>63</v>
      </c>
      <c r="D90" s="2" t="s">
        <v>266</v>
      </c>
      <c r="E90" s="2" t="s">
        <v>267</v>
      </c>
      <c r="F90" s="2" t="s">
        <v>282</v>
      </c>
      <c r="G90" s="2" t="s">
        <v>268</v>
      </c>
    </row>
    <row r="91" spans="1:7" ht="15.75" x14ac:dyDescent="0.25">
      <c r="A91" s="9">
        <v>1</v>
      </c>
      <c r="B91" s="18" t="s">
        <v>216</v>
      </c>
      <c r="C91" s="7" t="s">
        <v>269</v>
      </c>
      <c r="D91" s="5"/>
      <c r="E91" s="5"/>
      <c r="F91" s="8">
        <v>16393</v>
      </c>
      <c r="G91" s="7"/>
    </row>
    <row r="95" spans="1:7" x14ac:dyDescent="0.25">
      <c r="F95" t="s">
        <v>2</v>
      </c>
    </row>
    <row r="96" spans="1:7" ht="15.75" x14ac:dyDescent="0.25">
      <c r="A96" s="6"/>
      <c r="B96" s="3" t="s">
        <v>62</v>
      </c>
      <c r="C96" s="2" t="s">
        <v>63</v>
      </c>
      <c r="D96" s="2" t="s">
        <v>266</v>
      </c>
      <c r="E96" s="2" t="s">
        <v>267</v>
      </c>
      <c r="F96" s="2" t="s">
        <v>282</v>
      </c>
      <c r="G96" s="2" t="s">
        <v>268</v>
      </c>
    </row>
    <row r="97" spans="1:10" ht="15.75" x14ac:dyDescent="0.25">
      <c r="A97" s="9">
        <v>1</v>
      </c>
      <c r="B97" s="18" t="s">
        <v>217</v>
      </c>
      <c r="C97" s="7" t="s">
        <v>269</v>
      </c>
      <c r="D97" s="5">
        <v>4.711444444444445</v>
      </c>
      <c r="E97" s="5">
        <v>74.109797222222213</v>
      </c>
      <c r="F97" s="8">
        <v>16393</v>
      </c>
      <c r="G97" s="7">
        <f>SQRT(($D$100-D97)^2+($E$100-E97)^2)</f>
        <v>1.5661588580595329E-2</v>
      </c>
    </row>
    <row r="98" spans="1:10" ht="15.75" x14ac:dyDescent="0.25">
      <c r="A98" s="9">
        <v>2</v>
      </c>
      <c r="B98" s="18" t="s">
        <v>218</v>
      </c>
      <c r="C98" s="7" t="s">
        <v>270</v>
      </c>
      <c r="D98" s="5">
        <v>4.7152000000000003</v>
      </c>
      <c r="E98" s="5">
        <v>74.140894444444456</v>
      </c>
      <c r="F98" s="8">
        <v>16393</v>
      </c>
      <c r="G98" s="7">
        <f>SQRT(($D$100-D98)^2+($E$100-E98)^2)</f>
        <v>1.5661588580581007E-2</v>
      </c>
    </row>
    <row r="99" spans="1:10" x14ac:dyDescent="0.25">
      <c r="D99">
        <f>SUMPRODUCT(D97:D98,F97:F98)</f>
        <v>154530.98237777781</v>
      </c>
      <c r="E99">
        <f>SUMPRODUCT(E97:E98,F97:F98)</f>
        <v>2430273.5884916671</v>
      </c>
      <c r="F99" s="10">
        <f>SUM(F97:F98)</f>
        <v>32786</v>
      </c>
    </row>
    <row r="100" spans="1:10" x14ac:dyDescent="0.25">
      <c r="C100" s="11" t="s">
        <v>372</v>
      </c>
      <c r="D100" s="12">
        <f>D99/F99</f>
        <v>4.7133222222222235</v>
      </c>
      <c r="E100" s="12">
        <f>E99/F99</f>
        <v>74.125345833333341</v>
      </c>
      <c r="F100" s="44" t="s">
        <v>272</v>
      </c>
      <c r="G100" s="44"/>
      <c r="H100" s="13" t="s">
        <v>267</v>
      </c>
      <c r="I100" s="45" t="s">
        <v>276</v>
      </c>
      <c r="J100" s="46"/>
    </row>
    <row r="101" spans="1:10" ht="15.75" x14ac:dyDescent="0.25">
      <c r="C101" s="13"/>
      <c r="D101" s="14" t="s">
        <v>273</v>
      </c>
      <c r="E101" s="14" t="s">
        <v>274</v>
      </c>
      <c r="F101" s="15"/>
      <c r="G101" s="16"/>
      <c r="H101" s="6"/>
      <c r="I101" s="7" t="s">
        <v>275</v>
      </c>
      <c r="J101" s="8">
        <f>SUMPRODUCT(F97:F98,G97:G98)</f>
        <v>513.48084320316366</v>
      </c>
    </row>
    <row r="103" spans="1:10" x14ac:dyDescent="0.25">
      <c r="F103" t="s">
        <v>3</v>
      </c>
    </row>
    <row r="104" spans="1:10" ht="15.75" x14ac:dyDescent="0.25">
      <c r="A104" s="6"/>
      <c r="B104" s="3" t="s">
        <v>62</v>
      </c>
      <c r="C104" s="2" t="s">
        <v>63</v>
      </c>
      <c r="D104" s="2" t="s">
        <v>266</v>
      </c>
      <c r="E104" s="2" t="s">
        <v>267</v>
      </c>
      <c r="F104" s="2" t="s">
        <v>282</v>
      </c>
      <c r="G104" s="2" t="s">
        <v>268</v>
      </c>
    </row>
    <row r="105" spans="1:10" ht="15.75" x14ac:dyDescent="0.25">
      <c r="A105" s="9">
        <v>1</v>
      </c>
      <c r="B105" s="18" t="s">
        <v>229</v>
      </c>
      <c r="C105" s="7" t="s">
        <v>269</v>
      </c>
      <c r="D105" s="5"/>
      <c r="E105" s="5"/>
      <c r="F105" s="8">
        <v>16393</v>
      </c>
      <c r="G105" s="7"/>
    </row>
    <row r="110" spans="1:10" x14ac:dyDescent="0.25">
      <c r="F110" t="s">
        <v>12</v>
      </c>
    </row>
    <row r="111" spans="1:10" ht="15.75" x14ac:dyDescent="0.25">
      <c r="A111" s="6"/>
      <c r="B111" s="3" t="s">
        <v>62</v>
      </c>
      <c r="C111" s="2" t="s">
        <v>63</v>
      </c>
      <c r="D111" s="2" t="s">
        <v>266</v>
      </c>
      <c r="E111" s="2" t="s">
        <v>267</v>
      </c>
      <c r="F111" s="2" t="s">
        <v>282</v>
      </c>
      <c r="G111" s="2" t="s">
        <v>268</v>
      </c>
    </row>
    <row r="112" spans="1:10" ht="15.75" x14ac:dyDescent="0.25">
      <c r="A112" s="9">
        <v>1</v>
      </c>
      <c r="B112" s="18" t="s">
        <v>234</v>
      </c>
      <c r="C112" s="7" t="s">
        <v>269</v>
      </c>
      <c r="D112" s="5"/>
      <c r="E112" s="5"/>
      <c r="F112" s="8">
        <v>16393</v>
      </c>
      <c r="G112" s="7"/>
    </row>
  </sheetData>
  <mergeCells count="22">
    <mergeCell ref="B1:B2"/>
    <mergeCell ref="C1:C2"/>
    <mergeCell ref="D1:D2"/>
    <mergeCell ref="E1:E2"/>
    <mergeCell ref="F1:F2"/>
    <mergeCell ref="Z32:Z33"/>
    <mergeCell ref="F48:G48"/>
    <mergeCell ref="I48:J48"/>
    <mergeCell ref="P32:P33"/>
    <mergeCell ref="Q32:Q33"/>
    <mergeCell ref="T32:V32"/>
    <mergeCell ref="W32:Y32"/>
    <mergeCell ref="F31:G31"/>
    <mergeCell ref="I31:J31"/>
    <mergeCell ref="F40:G40"/>
    <mergeCell ref="I40:J40"/>
    <mergeCell ref="F100:G100"/>
    <mergeCell ref="I100:J100"/>
    <mergeCell ref="F79:G79"/>
    <mergeCell ref="I79:J79"/>
    <mergeCell ref="F63:G63"/>
    <mergeCell ref="I63:J63"/>
  </mergeCells>
  <conditionalFormatting sqref="B21:B22 B3:B18 B1">
    <cfRule type="duplicateValues" dxfId="24" priority="27"/>
  </conditionalFormatting>
  <conditionalFormatting sqref="B27">
    <cfRule type="duplicateValues" dxfId="23" priority="25"/>
  </conditionalFormatting>
  <conditionalFormatting sqref="B28:B29">
    <cfRule type="duplicateValues" dxfId="22" priority="13"/>
  </conditionalFormatting>
  <conditionalFormatting sqref="B35">
    <cfRule type="duplicateValues" dxfId="21" priority="24"/>
  </conditionalFormatting>
  <conditionalFormatting sqref="B36:B38">
    <cfRule type="duplicateValues" dxfId="20" priority="12"/>
  </conditionalFormatting>
  <conditionalFormatting sqref="B44">
    <cfRule type="duplicateValues" dxfId="19" priority="23"/>
  </conditionalFormatting>
  <conditionalFormatting sqref="B45:B46">
    <cfRule type="duplicateValues" dxfId="18" priority="11"/>
  </conditionalFormatting>
  <conditionalFormatting sqref="B52">
    <cfRule type="duplicateValues" dxfId="17" priority="22"/>
  </conditionalFormatting>
  <conditionalFormatting sqref="B53">
    <cfRule type="duplicateValues" dxfId="16" priority="10"/>
  </conditionalFormatting>
  <conditionalFormatting sqref="B59">
    <cfRule type="duplicateValues" dxfId="15" priority="21"/>
  </conditionalFormatting>
  <conditionalFormatting sqref="B60:B61">
    <cfRule type="duplicateValues" dxfId="14" priority="9"/>
  </conditionalFormatting>
  <conditionalFormatting sqref="B67">
    <cfRule type="duplicateValues" dxfId="13" priority="20"/>
  </conditionalFormatting>
  <conditionalFormatting sqref="B68">
    <cfRule type="duplicateValues" dxfId="12" priority="8"/>
  </conditionalFormatting>
  <conditionalFormatting sqref="B74">
    <cfRule type="duplicateValues" dxfId="11" priority="19"/>
  </conditionalFormatting>
  <conditionalFormatting sqref="B75:B77">
    <cfRule type="duplicateValues" dxfId="10" priority="7"/>
  </conditionalFormatting>
  <conditionalFormatting sqref="B83">
    <cfRule type="duplicateValues" dxfId="9" priority="18"/>
  </conditionalFormatting>
  <conditionalFormatting sqref="B84">
    <cfRule type="duplicateValues" dxfId="8" priority="5"/>
  </conditionalFormatting>
  <conditionalFormatting sqref="B90">
    <cfRule type="duplicateValues" dxfId="7" priority="17"/>
  </conditionalFormatting>
  <conditionalFormatting sqref="B91">
    <cfRule type="duplicateValues" dxfId="6" priority="4"/>
  </conditionalFormatting>
  <conditionalFormatting sqref="B96">
    <cfRule type="duplicateValues" dxfId="5" priority="16"/>
  </conditionalFormatting>
  <conditionalFormatting sqref="B104">
    <cfRule type="duplicateValues" dxfId="4" priority="15"/>
  </conditionalFormatting>
  <conditionalFormatting sqref="B105">
    <cfRule type="duplicateValues" dxfId="3" priority="3"/>
  </conditionalFormatting>
  <conditionalFormatting sqref="B111">
    <cfRule type="duplicateValues" dxfId="2" priority="14"/>
  </conditionalFormatting>
  <conditionalFormatting sqref="B112">
    <cfRule type="duplicateValues" dxfId="1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1071-2D45-47FA-AD95-97E4BE80AE87}">
  <dimension ref="A1:AA295"/>
  <sheetViews>
    <sheetView topLeftCell="B1" zoomScale="70" zoomScaleNormal="70" workbookViewId="0">
      <selection activeCell="C63" sqref="C63"/>
    </sheetView>
  </sheetViews>
  <sheetFormatPr baseColWidth="10" defaultRowHeight="15" x14ac:dyDescent="0.25"/>
  <cols>
    <col min="4" max="4" width="15.7109375" bestFit="1" customWidth="1"/>
    <col min="5" max="5" width="30" customWidth="1"/>
    <col min="6" max="6" width="22" customWidth="1"/>
    <col min="12" max="12" width="17.140625" customWidth="1"/>
    <col min="13" max="14" width="17" bestFit="1" customWidth="1"/>
    <col min="15" max="15" width="31.28515625" customWidth="1"/>
    <col min="17" max="17" width="18.5703125" customWidth="1"/>
    <col min="19" max="19" width="14.42578125" customWidth="1"/>
    <col min="20" max="20" width="15.42578125" customWidth="1"/>
    <col min="27" max="27" width="28.42578125" customWidth="1"/>
  </cols>
  <sheetData>
    <row r="1" spans="2:15" ht="15.75" x14ac:dyDescent="0.25">
      <c r="B1" s="52" t="s">
        <v>290</v>
      </c>
      <c r="C1" s="52" t="s">
        <v>285</v>
      </c>
      <c r="D1" s="52" t="s">
        <v>74</v>
      </c>
      <c r="E1" s="52" t="s">
        <v>63</v>
      </c>
      <c r="F1" s="52" t="s">
        <v>387</v>
      </c>
      <c r="G1" s="49" t="s">
        <v>248</v>
      </c>
      <c r="H1" s="50"/>
      <c r="I1" s="51"/>
      <c r="J1" s="49" t="s">
        <v>249</v>
      </c>
      <c r="K1" s="50"/>
      <c r="L1" s="51"/>
      <c r="M1" s="1" t="s">
        <v>248</v>
      </c>
      <c r="N1" s="1" t="s">
        <v>249</v>
      </c>
      <c r="O1" s="48" t="s">
        <v>388</v>
      </c>
    </row>
    <row r="2" spans="2:15" ht="30" customHeight="1" x14ac:dyDescent="0.25">
      <c r="B2" s="53"/>
      <c r="C2" s="53"/>
      <c r="D2" s="53"/>
      <c r="E2" s="53"/>
      <c r="F2" s="53"/>
      <c r="G2" s="2" t="s">
        <v>250</v>
      </c>
      <c r="H2" s="2" t="s">
        <v>251</v>
      </c>
      <c r="I2" s="2" t="s">
        <v>252</v>
      </c>
      <c r="J2" s="2" t="s">
        <v>250</v>
      </c>
      <c r="K2" s="2" t="s">
        <v>251</v>
      </c>
      <c r="L2" s="2" t="s">
        <v>252</v>
      </c>
      <c r="M2" s="1" t="s">
        <v>253</v>
      </c>
      <c r="N2" s="1" t="s">
        <v>253</v>
      </c>
      <c r="O2" s="48"/>
    </row>
    <row r="3" spans="2:15" ht="15.75" x14ac:dyDescent="0.25">
      <c r="B3" s="22">
        <v>1</v>
      </c>
      <c r="C3" s="19" t="s">
        <v>286</v>
      </c>
      <c r="D3" s="18" t="s">
        <v>12</v>
      </c>
      <c r="E3" s="23" t="s">
        <v>291</v>
      </c>
      <c r="F3" s="18" t="s">
        <v>215</v>
      </c>
      <c r="G3" s="19">
        <v>4</v>
      </c>
      <c r="H3" s="19">
        <v>49</v>
      </c>
      <c r="I3" s="19">
        <v>9.6300000000000008</v>
      </c>
      <c r="J3" s="19">
        <v>74</v>
      </c>
      <c r="K3" s="19">
        <v>2</v>
      </c>
      <c r="L3" s="19">
        <v>4.6100000000000003</v>
      </c>
      <c r="M3" s="5">
        <f>G3+(H3/60)+(I3/3600)</f>
        <v>4.8193416666666664</v>
      </c>
      <c r="N3" s="5">
        <f>J3+(K3/60)+(L3/3600)</f>
        <v>74.034613888888885</v>
      </c>
      <c r="O3" s="18" t="str">
        <f>G3&amp;"°"&amp;H3&amp;"′"&amp;SUBSTITUTE(I3,",",".")&amp;"″"&amp;"N "&amp;J3&amp;"°"&amp;K3&amp;"′"&amp;SUBSTITUTE(L3,",",".")&amp;"″"&amp;"W"</f>
        <v>4°49′9.63″N 74°2′4.61″W</v>
      </c>
    </row>
    <row r="4" spans="2:15" ht="15.75" x14ac:dyDescent="0.25">
      <c r="B4" s="22">
        <v>2</v>
      </c>
      <c r="C4" s="19" t="s">
        <v>288</v>
      </c>
      <c r="D4" s="18" t="s">
        <v>12</v>
      </c>
      <c r="E4" s="23" t="s">
        <v>292</v>
      </c>
      <c r="F4" s="18" t="s">
        <v>215</v>
      </c>
      <c r="G4" s="19">
        <v>4</v>
      </c>
      <c r="H4" s="19">
        <v>39</v>
      </c>
      <c r="I4" s="19">
        <v>54.16</v>
      </c>
      <c r="J4" s="19">
        <v>74</v>
      </c>
      <c r="K4" s="19">
        <v>0</v>
      </c>
      <c r="L4" s="19">
        <v>39.81</v>
      </c>
      <c r="M4" s="5">
        <f t="shared" ref="M4:M7" si="0">G4+(H4/60)+(I4/3600)</f>
        <v>4.6650444444444448</v>
      </c>
      <c r="N4" s="5">
        <f t="shared" ref="N4:N67" si="1">J4+(K4/60)+(L4/3600)</f>
        <v>74.011058333333338</v>
      </c>
      <c r="O4" s="18" t="str">
        <f t="shared" ref="O4:O67" si="2">G4&amp;"°"&amp;H4&amp;"′"&amp;SUBSTITUTE(I4,",",".")&amp;"″"&amp;"N "&amp;J4&amp;"°"&amp;K4&amp;"′"&amp;SUBSTITUTE(L4,",",".")&amp;"″"&amp;"W"</f>
        <v>4°39′54.16″N 74°0′39.81″W</v>
      </c>
    </row>
    <row r="5" spans="2:15" ht="15.75" x14ac:dyDescent="0.25">
      <c r="B5" s="22">
        <v>3</v>
      </c>
      <c r="C5" s="19" t="s">
        <v>289</v>
      </c>
      <c r="D5" s="18" t="s">
        <v>12</v>
      </c>
      <c r="E5" s="23" t="s">
        <v>294</v>
      </c>
      <c r="F5" s="18" t="s">
        <v>215</v>
      </c>
      <c r="G5" s="19">
        <v>4</v>
      </c>
      <c r="H5" s="19">
        <v>44</v>
      </c>
      <c r="I5" s="19">
        <v>58.66</v>
      </c>
      <c r="J5" s="19">
        <v>74</v>
      </c>
      <c r="K5" s="19">
        <v>2</v>
      </c>
      <c r="L5" s="19">
        <v>46.09</v>
      </c>
      <c r="M5" s="5">
        <f t="shared" si="0"/>
        <v>4.7496277777777776</v>
      </c>
      <c r="N5" s="5">
        <f t="shared" si="1"/>
        <v>74.04613611111111</v>
      </c>
      <c r="O5" s="18" t="str">
        <f t="shared" si="2"/>
        <v>4°44′58.66″N 74°2′46.09″W</v>
      </c>
    </row>
    <row r="6" spans="2:15" ht="15.75" x14ac:dyDescent="0.25">
      <c r="B6" s="22">
        <v>4</v>
      </c>
      <c r="C6" s="19" t="s">
        <v>287</v>
      </c>
      <c r="D6" s="18" t="s">
        <v>12</v>
      </c>
      <c r="E6" s="23" t="s">
        <v>293</v>
      </c>
      <c r="F6" s="18" t="s">
        <v>215</v>
      </c>
      <c r="G6" s="19">
        <v>4</v>
      </c>
      <c r="H6" s="19">
        <v>43</v>
      </c>
      <c r="I6" s="19">
        <v>58</v>
      </c>
      <c r="J6" s="19">
        <v>74</v>
      </c>
      <c r="K6" s="19">
        <v>1</v>
      </c>
      <c r="L6" s="19">
        <v>9.3000000000000007</v>
      </c>
      <c r="M6" s="5">
        <f t="shared" si="0"/>
        <v>4.7327777777777778</v>
      </c>
      <c r="N6" s="5">
        <f t="shared" si="1"/>
        <v>74.01925</v>
      </c>
      <c r="O6" s="18" t="str">
        <f t="shared" si="2"/>
        <v>4°43′58″N 74°1′9.3″W</v>
      </c>
    </row>
    <row r="7" spans="2:15" ht="15.75" x14ac:dyDescent="0.25">
      <c r="B7" s="22">
        <v>5</v>
      </c>
      <c r="C7" s="19" t="s">
        <v>286</v>
      </c>
      <c r="D7" s="18" t="s">
        <v>13</v>
      </c>
      <c r="E7" s="23" t="s">
        <v>295</v>
      </c>
      <c r="F7" s="18" t="s">
        <v>215</v>
      </c>
      <c r="G7" s="19">
        <v>4</v>
      </c>
      <c r="H7" s="19">
        <v>41</v>
      </c>
      <c r="I7" s="19">
        <v>3.93</v>
      </c>
      <c r="J7" s="19">
        <v>74</v>
      </c>
      <c r="K7" s="19">
        <v>2</v>
      </c>
      <c r="L7" s="19">
        <v>57.27</v>
      </c>
      <c r="M7" s="5">
        <f t="shared" si="0"/>
        <v>4.6844250000000001</v>
      </c>
      <c r="N7" s="5">
        <f t="shared" si="1"/>
        <v>74.04924166666666</v>
      </c>
      <c r="O7" s="18" t="str">
        <f t="shared" si="2"/>
        <v>4°41′3.93″N 74°2′57.27″W</v>
      </c>
    </row>
    <row r="8" spans="2:15" ht="15.75" x14ac:dyDescent="0.25">
      <c r="B8" s="22">
        <v>6</v>
      </c>
      <c r="C8" s="19" t="s">
        <v>288</v>
      </c>
      <c r="D8" s="18" t="s">
        <v>13</v>
      </c>
      <c r="E8" s="23" t="s">
        <v>296</v>
      </c>
      <c r="F8" s="18" t="s">
        <v>215</v>
      </c>
      <c r="G8" s="19">
        <v>4</v>
      </c>
      <c r="H8" s="19">
        <v>38</v>
      </c>
      <c r="I8" s="19">
        <v>0.12</v>
      </c>
      <c r="J8" s="19">
        <v>74</v>
      </c>
      <c r="K8" s="19">
        <v>3</v>
      </c>
      <c r="L8" s="19">
        <v>30.87</v>
      </c>
      <c r="M8" s="5">
        <f t="shared" ref="M8:M39" si="3">G8+(H8/60)+(I8/3600)</f>
        <v>4.6333666666666664</v>
      </c>
      <c r="N8" s="5">
        <f t="shared" si="1"/>
        <v>74.05857499999999</v>
      </c>
      <c r="O8" s="18" t="str">
        <f t="shared" si="2"/>
        <v>4°38′0.12″N 74°3′30.87″W</v>
      </c>
    </row>
    <row r="9" spans="2:15" ht="15.75" x14ac:dyDescent="0.25">
      <c r="B9" s="22">
        <v>7</v>
      </c>
      <c r="C9" s="19" t="s">
        <v>289</v>
      </c>
      <c r="D9" s="18" t="s">
        <v>13</v>
      </c>
      <c r="E9" s="23" t="s">
        <v>297</v>
      </c>
      <c r="F9" s="18" t="s">
        <v>215</v>
      </c>
      <c r="G9" s="19">
        <v>4</v>
      </c>
      <c r="H9" s="19">
        <v>39</v>
      </c>
      <c r="I9" s="19">
        <v>38.270000000000003</v>
      </c>
      <c r="J9" s="19">
        <v>74</v>
      </c>
      <c r="K9" s="19">
        <v>3</v>
      </c>
      <c r="L9" s="19">
        <v>26.28</v>
      </c>
      <c r="M9" s="5">
        <f t="shared" si="3"/>
        <v>4.6606305555555556</v>
      </c>
      <c r="N9" s="5">
        <f t="shared" si="1"/>
        <v>74.057299999999998</v>
      </c>
      <c r="O9" s="18" t="str">
        <f t="shared" si="2"/>
        <v>4°39′38.27″N 74°3′26.28″W</v>
      </c>
    </row>
    <row r="10" spans="2:15" ht="15.75" x14ac:dyDescent="0.25">
      <c r="B10" s="22">
        <v>8</v>
      </c>
      <c r="C10" s="19" t="s">
        <v>287</v>
      </c>
      <c r="D10" s="18" t="s">
        <v>13</v>
      </c>
      <c r="E10" s="23" t="s">
        <v>298</v>
      </c>
      <c r="F10" s="18" t="s">
        <v>215</v>
      </c>
      <c r="G10" s="19">
        <v>4</v>
      </c>
      <c r="H10" s="19">
        <v>39</v>
      </c>
      <c r="I10" s="19">
        <v>19.93</v>
      </c>
      <c r="J10" s="19">
        <v>74</v>
      </c>
      <c r="K10" s="19">
        <v>2</v>
      </c>
      <c r="L10" s="19">
        <v>47.5</v>
      </c>
      <c r="M10" s="5">
        <f t="shared" si="3"/>
        <v>4.6555361111111111</v>
      </c>
      <c r="N10" s="5">
        <f t="shared" si="1"/>
        <v>74.046527777777783</v>
      </c>
      <c r="O10" s="18" t="str">
        <f t="shared" si="2"/>
        <v>4°39′19.93″N 74°2′47.5″W</v>
      </c>
    </row>
    <row r="11" spans="2:15" ht="15.75" x14ac:dyDescent="0.25">
      <c r="B11" s="22">
        <v>9</v>
      </c>
      <c r="C11" s="19" t="s">
        <v>286</v>
      </c>
      <c r="D11" s="18" t="s">
        <v>14</v>
      </c>
      <c r="E11" s="23" t="s">
        <v>315</v>
      </c>
      <c r="F11" s="18" t="s">
        <v>61</v>
      </c>
      <c r="G11" s="19">
        <v>4</v>
      </c>
      <c r="H11" s="19">
        <v>37</v>
      </c>
      <c r="I11" s="19">
        <v>13.67</v>
      </c>
      <c r="J11" s="19">
        <v>74</v>
      </c>
      <c r="K11" s="19">
        <v>3</v>
      </c>
      <c r="L11" s="19">
        <v>52.74</v>
      </c>
      <c r="M11" s="5">
        <f t="shared" si="3"/>
        <v>4.6204638888888896</v>
      </c>
      <c r="N11" s="5">
        <f t="shared" si="1"/>
        <v>74.06465</v>
      </c>
      <c r="O11" s="18" t="str">
        <f t="shared" si="2"/>
        <v>4°37′13.67″N 74°3′52.74″W</v>
      </c>
    </row>
    <row r="12" spans="2:15" ht="15.75" x14ac:dyDescent="0.25">
      <c r="B12" s="22">
        <v>10</v>
      </c>
      <c r="C12" s="19" t="s">
        <v>288</v>
      </c>
      <c r="D12" s="18" t="s">
        <v>14</v>
      </c>
      <c r="E12" s="23" t="s">
        <v>316</v>
      </c>
      <c r="F12" s="18" t="s">
        <v>61</v>
      </c>
      <c r="G12" s="19">
        <v>4</v>
      </c>
      <c r="H12" s="19">
        <v>34</v>
      </c>
      <c r="I12" s="19">
        <v>52.47</v>
      </c>
      <c r="J12" s="19">
        <v>74</v>
      </c>
      <c r="K12" s="19">
        <v>4</v>
      </c>
      <c r="L12" s="19">
        <v>36.4</v>
      </c>
      <c r="M12" s="5">
        <f t="shared" si="3"/>
        <v>4.5812416666666662</v>
      </c>
      <c r="N12" s="5">
        <f t="shared" si="1"/>
        <v>74.076777777777778</v>
      </c>
      <c r="O12" s="18" t="str">
        <f t="shared" si="2"/>
        <v>4°34′52.47″N 74°4′36.4″W</v>
      </c>
    </row>
    <row r="13" spans="2:15" ht="15.75" x14ac:dyDescent="0.25">
      <c r="B13" s="22">
        <v>11</v>
      </c>
      <c r="C13" s="19" t="s">
        <v>289</v>
      </c>
      <c r="D13" s="18" t="s">
        <v>14</v>
      </c>
      <c r="E13" s="23" t="s">
        <v>317</v>
      </c>
      <c r="F13" s="18" t="s">
        <v>61</v>
      </c>
      <c r="G13" s="19">
        <v>4</v>
      </c>
      <c r="H13" s="19">
        <v>36</v>
      </c>
      <c r="I13" s="19">
        <v>6.62</v>
      </c>
      <c r="J13" s="19">
        <v>74</v>
      </c>
      <c r="K13" s="19">
        <v>4</v>
      </c>
      <c r="L13" s="19">
        <v>42.19</v>
      </c>
      <c r="M13" s="5">
        <f t="shared" si="3"/>
        <v>4.6018388888888886</v>
      </c>
      <c r="N13" s="5">
        <f t="shared" si="1"/>
        <v>74.078386111111101</v>
      </c>
      <c r="O13" s="18" t="str">
        <f t="shared" si="2"/>
        <v>4°36′6.62″N 74°4′42.19″W</v>
      </c>
    </row>
    <row r="14" spans="2:15" ht="15.75" x14ac:dyDescent="0.25">
      <c r="B14" s="22">
        <v>12</v>
      </c>
      <c r="C14" s="19" t="s">
        <v>287</v>
      </c>
      <c r="D14" s="18" t="s">
        <v>14</v>
      </c>
      <c r="E14" s="23" t="s">
        <v>318</v>
      </c>
      <c r="F14" s="18" t="s">
        <v>61</v>
      </c>
      <c r="G14" s="19">
        <v>4</v>
      </c>
      <c r="H14" s="19">
        <v>35</v>
      </c>
      <c r="I14" s="19">
        <v>36.61</v>
      </c>
      <c r="J14" s="19">
        <v>74</v>
      </c>
      <c r="K14" s="19">
        <v>4</v>
      </c>
      <c r="L14" s="19">
        <v>8.09</v>
      </c>
      <c r="M14" s="5">
        <f t="shared" si="3"/>
        <v>4.5935027777777773</v>
      </c>
      <c r="N14" s="5">
        <f t="shared" si="1"/>
        <v>74.068913888888886</v>
      </c>
      <c r="O14" s="18" t="str">
        <f t="shared" si="2"/>
        <v>4°35′36.61″N 74°4′8.09″W</v>
      </c>
    </row>
    <row r="15" spans="2:15" ht="15.75" x14ac:dyDescent="0.25">
      <c r="B15" s="22">
        <v>13</v>
      </c>
      <c r="C15" s="19" t="s">
        <v>286</v>
      </c>
      <c r="D15" s="18" t="s">
        <v>15</v>
      </c>
      <c r="E15" s="23" t="s">
        <v>323</v>
      </c>
      <c r="F15" s="18" t="s">
        <v>61</v>
      </c>
      <c r="G15" s="19">
        <v>4</v>
      </c>
      <c r="H15" s="19">
        <v>35</v>
      </c>
      <c r="I15" s="19">
        <v>14.8</v>
      </c>
      <c r="J15" s="19">
        <v>74</v>
      </c>
      <c r="K15" s="19">
        <v>5</v>
      </c>
      <c r="L15" s="19">
        <v>1.37</v>
      </c>
      <c r="M15" s="5">
        <f t="shared" si="3"/>
        <v>4.5874444444444444</v>
      </c>
      <c r="N15" s="5">
        <f t="shared" si="1"/>
        <v>74.08371388888888</v>
      </c>
      <c r="O15" s="18" t="str">
        <f t="shared" si="2"/>
        <v>4°35′14.8″N 74°5′1.37″W</v>
      </c>
    </row>
    <row r="16" spans="2:15" ht="15.75" x14ac:dyDescent="0.25">
      <c r="B16" s="22">
        <v>14</v>
      </c>
      <c r="C16" s="19" t="s">
        <v>288</v>
      </c>
      <c r="D16" s="18" t="s">
        <v>15</v>
      </c>
      <c r="E16" s="23" t="s">
        <v>324</v>
      </c>
      <c r="F16" s="18" t="s">
        <v>61</v>
      </c>
      <c r="G16" s="19">
        <v>4</v>
      </c>
      <c r="H16" s="19">
        <v>31</v>
      </c>
      <c r="I16" s="19">
        <v>18.68</v>
      </c>
      <c r="J16" s="19">
        <v>74</v>
      </c>
      <c r="K16" s="19">
        <v>5</v>
      </c>
      <c r="L16" s="19">
        <v>17.420000000000002</v>
      </c>
      <c r="M16" s="5">
        <f t="shared" si="3"/>
        <v>4.5218555555555557</v>
      </c>
      <c r="N16" s="5">
        <f t="shared" si="1"/>
        <v>74.088172222222212</v>
      </c>
      <c r="O16" s="18" t="str">
        <f t="shared" si="2"/>
        <v>4°31′18.68″N 74°5′17.42″W</v>
      </c>
    </row>
    <row r="17" spans="2:15" ht="15.75" x14ac:dyDescent="0.25">
      <c r="B17" s="22">
        <v>15</v>
      </c>
      <c r="C17" s="19" t="s">
        <v>289</v>
      </c>
      <c r="D17" s="18" t="s">
        <v>15</v>
      </c>
      <c r="E17" s="23" t="s">
        <v>326</v>
      </c>
      <c r="F17" s="18" t="s">
        <v>61</v>
      </c>
      <c r="G17" s="19">
        <v>4</v>
      </c>
      <c r="H17" s="19">
        <v>34</v>
      </c>
      <c r="I17" s="19">
        <v>17.739999999999998</v>
      </c>
      <c r="J17" s="19">
        <v>74</v>
      </c>
      <c r="K17" s="19">
        <v>5</v>
      </c>
      <c r="L17" s="19">
        <v>51.98</v>
      </c>
      <c r="M17" s="5">
        <f t="shared" si="3"/>
        <v>4.5715944444444441</v>
      </c>
      <c r="N17" s="5">
        <f t="shared" si="1"/>
        <v>74.097772222222218</v>
      </c>
      <c r="O17" s="18" t="str">
        <f t="shared" si="2"/>
        <v>4°34′17.74″N 74°5′51.98″W</v>
      </c>
    </row>
    <row r="18" spans="2:15" ht="15.75" x14ac:dyDescent="0.25">
      <c r="B18" s="22">
        <v>16</v>
      </c>
      <c r="C18" s="19" t="s">
        <v>287</v>
      </c>
      <c r="D18" s="18" t="s">
        <v>15</v>
      </c>
      <c r="E18" s="23" t="s">
        <v>325</v>
      </c>
      <c r="F18" s="18" t="s">
        <v>61</v>
      </c>
      <c r="G18" s="19">
        <v>4</v>
      </c>
      <c r="H18" s="19">
        <v>32</v>
      </c>
      <c r="I18" s="19">
        <v>30.66</v>
      </c>
      <c r="J18" s="19">
        <v>74</v>
      </c>
      <c r="K18" s="19">
        <v>4</v>
      </c>
      <c r="L18" s="19">
        <v>44.96</v>
      </c>
      <c r="M18" s="5">
        <f t="shared" si="3"/>
        <v>4.5418500000000002</v>
      </c>
      <c r="N18" s="5">
        <f t="shared" si="1"/>
        <v>74.079155555555545</v>
      </c>
      <c r="O18" s="18" t="str">
        <f t="shared" si="2"/>
        <v>4°32′30.66″N 74°4′44.96″W</v>
      </c>
    </row>
    <row r="19" spans="2:15" ht="15.75" x14ac:dyDescent="0.25">
      <c r="B19" s="22">
        <v>17</v>
      </c>
      <c r="C19" s="19" t="s">
        <v>286</v>
      </c>
      <c r="D19" s="18" t="s">
        <v>16</v>
      </c>
      <c r="E19" s="23" t="s">
        <v>334</v>
      </c>
      <c r="F19" s="18" t="s">
        <v>60</v>
      </c>
      <c r="G19" s="19">
        <v>4</v>
      </c>
      <c r="H19" s="19">
        <v>32</v>
      </c>
      <c r="I19" s="19">
        <v>28.55</v>
      </c>
      <c r="J19" s="19">
        <v>74</v>
      </c>
      <c r="K19" s="19">
        <v>7</v>
      </c>
      <c r="L19" s="19">
        <v>2.99</v>
      </c>
      <c r="M19" s="5">
        <f t="shared" si="3"/>
        <v>4.5412638888888885</v>
      </c>
      <c r="N19" s="5">
        <f t="shared" si="1"/>
        <v>74.117497222222212</v>
      </c>
      <c r="O19" s="18" t="str">
        <f t="shared" si="2"/>
        <v>4°32′28.55″N 74°7′2.99″W</v>
      </c>
    </row>
    <row r="20" spans="2:15" ht="15.75" x14ac:dyDescent="0.25">
      <c r="B20" s="22">
        <v>18</v>
      </c>
      <c r="C20" s="19" t="s">
        <v>288</v>
      </c>
      <c r="D20" s="18" t="s">
        <v>16</v>
      </c>
      <c r="E20" s="23" t="s">
        <v>335</v>
      </c>
      <c r="F20" s="18" t="s">
        <v>60</v>
      </c>
      <c r="G20" s="19">
        <v>4</v>
      </c>
      <c r="H20" s="19">
        <v>28</v>
      </c>
      <c r="I20" s="19">
        <v>42.44</v>
      </c>
      <c r="J20" s="19">
        <v>74</v>
      </c>
      <c r="K20" s="19">
        <v>5</v>
      </c>
      <c r="L20" s="19">
        <v>33.86</v>
      </c>
      <c r="M20" s="5">
        <f t="shared" si="3"/>
        <v>4.4784555555555556</v>
      </c>
      <c r="N20" s="5">
        <f t="shared" si="1"/>
        <v>74.092738888888888</v>
      </c>
      <c r="O20" s="18" t="str">
        <f t="shared" si="2"/>
        <v>4°28′42.44″N 74°5′33.86″W</v>
      </c>
    </row>
    <row r="21" spans="2:15" ht="15.75" x14ac:dyDescent="0.25">
      <c r="B21" s="22">
        <v>19</v>
      </c>
      <c r="C21" s="19" t="s">
        <v>289</v>
      </c>
      <c r="D21" s="18" t="s">
        <v>16</v>
      </c>
      <c r="E21" s="23" t="s">
        <v>336</v>
      </c>
      <c r="F21" s="18" t="s">
        <v>60</v>
      </c>
      <c r="G21" s="19">
        <v>4</v>
      </c>
      <c r="H21" s="19">
        <v>28</v>
      </c>
      <c r="I21" s="19">
        <v>23.6</v>
      </c>
      <c r="J21" s="19">
        <v>74</v>
      </c>
      <c r="K21" s="19">
        <v>7</v>
      </c>
      <c r="L21" s="19">
        <v>18.600000000000001</v>
      </c>
      <c r="M21" s="5">
        <f t="shared" si="3"/>
        <v>4.4732222222222227</v>
      </c>
      <c r="N21" s="5">
        <f>J21+(K21/60)+(L21/3600)</f>
        <v>74.121833333333328</v>
      </c>
      <c r="O21" s="18" t="str">
        <f t="shared" si="2"/>
        <v>4°28′23.6″N 74°7′18.6″W</v>
      </c>
    </row>
    <row r="22" spans="2:15" ht="15.75" x14ac:dyDescent="0.25">
      <c r="B22" s="22">
        <v>20</v>
      </c>
      <c r="C22" s="19" t="s">
        <v>287</v>
      </c>
      <c r="D22" s="18" t="s">
        <v>16</v>
      </c>
      <c r="E22" s="23" t="s">
        <v>337</v>
      </c>
      <c r="F22" s="18" t="s">
        <v>60</v>
      </c>
      <c r="G22" s="19">
        <v>4</v>
      </c>
      <c r="H22" s="19">
        <v>30</v>
      </c>
      <c r="I22" s="19">
        <v>48.97</v>
      </c>
      <c r="J22" s="19">
        <v>74</v>
      </c>
      <c r="K22" s="19">
        <v>5</v>
      </c>
      <c r="L22" s="19">
        <v>25.03</v>
      </c>
      <c r="M22" s="5">
        <f t="shared" si="3"/>
        <v>4.5136027777777779</v>
      </c>
      <c r="N22" s="5">
        <f t="shared" si="1"/>
        <v>74.090286111111112</v>
      </c>
      <c r="O22" s="18" t="str">
        <f t="shared" si="2"/>
        <v>4°30′48.97″N 74°5′25.03″W</v>
      </c>
    </row>
    <row r="23" spans="2:15" ht="15.75" x14ac:dyDescent="0.25">
      <c r="B23" s="22">
        <v>21</v>
      </c>
      <c r="C23" s="19" t="s">
        <v>286</v>
      </c>
      <c r="D23" s="18" t="s">
        <v>0</v>
      </c>
      <c r="E23" s="23" t="s">
        <v>338</v>
      </c>
      <c r="F23" s="18" t="s">
        <v>60</v>
      </c>
      <c r="G23" s="19">
        <v>4</v>
      </c>
      <c r="H23" s="19">
        <v>35</v>
      </c>
      <c r="I23" s="19">
        <v>0.49</v>
      </c>
      <c r="J23" s="19">
        <v>74</v>
      </c>
      <c r="K23" s="19">
        <v>7</v>
      </c>
      <c r="L23" s="19">
        <v>55.66</v>
      </c>
      <c r="M23" s="5">
        <f t="shared" si="3"/>
        <v>4.5834694444444439</v>
      </c>
      <c r="N23" s="5">
        <f t="shared" si="1"/>
        <v>74.132127777777768</v>
      </c>
      <c r="O23" s="18" t="str">
        <f t="shared" si="2"/>
        <v>4°35′0.49″N 74°7′55.66″W</v>
      </c>
    </row>
    <row r="24" spans="2:15" ht="15.75" x14ac:dyDescent="0.25">
      <c r="B24" s="22">
        <v>22</v>
      </c>
      <c r="C24" s="19" t="s">
        <v>288</v>
      </c>
      <c r="D24" s="18" t="s">
        <v>0</v>
      </c>
      <c r="E24" s="23" t="s">
        <v>339</v>
      </c>
      <c r="F24" s="18" t="s">
        <v>60</v>
      </c>
      <c r="G24" s="19">
        <v>4</v>
      </c>
      <c r="H24" s="19">
        <v>34</v>
      </c>
      <c r="I24" s="19">
        <v>43.82</v>
      </c>
      <c r="J24" s="19">
        <v>74</v>
      </c>
      <c r="K24" s="19">
        <v>8</v>
      </c>
      <c r="L24" s="19">
        <v>50.31</v>
      </c>
      <c r="M24" s="5">
        <f t="shared" si="3"/>
        <v>4.5788388888888889</v>
      </c>
      <c r="N24" s="5">
        <f t="shared" si="1"/>
        <v>74.147308333333342</v>
      </c>
      <c r="O24" s="18" t="str">
        <f t="shared" si="2"/>
        <v>4°34′43.82″N 74°8′50.31″W</v>
      </c>
    </row>
    <row r="25" spans="2:15" ht="15.75" x14ac:dyDescent="0.25">
      <c r="B25" s="22">
        <v>23</v>
      </c>
      <c r="C25" s="19" t="s">
        <v>289</v>
      </c>
      <c r="D25" s="18" t="s">
        <v>0</v>
      </c>
      <c r="E25" s="23" t="s">
        <v>341</v>
      </c>
      <c r="F25" s="18" t="s">
        <v>60</v>
      </c>
      <c r="G25" s="19">
        <v>4</v>
      </c>
      <c r="H25" s="19">
        <v>35</v>
      </c>
      <c r="I25" s="19">
        <v>40.53</v>
      </c>
      <c r="J25" s="19">
        <v>74</v>
      </c>
      <c r="K25" s="19">
        <v>8</v>
      </c>
      <c r="L25" s="19">
        <v>40.85</v>
      </c>
      <c r="M25" s="5">
        <f t="shared" si="3"/>
        <v>4.5945916666666662</v>
      </c>
      <c r="N25" s="5">
        <f t="shared" si="1"/>
        <v>74.144680555555567</v>
      </c>
      <c r="O25" s="18" t="str">
        <f t="shared" si="2"/>
        <v>4°35′40.53″N 74°8′40.85″W</v>
      </c>
    </row>
    <row r="26" spans="2:15" ht="15.75" x14ac:dyDescent="0.25">
      <c r="B26" s="22">
        <v>24</v>
      </c>
      <c r="C26" s="19" t="s">
        <v>287</v>
      </c>
      <c r="D26" s="18" t="s">
        <v>0</v>
      </c>
      <c r="E26" s="23" t="s">
        <v>340</v>
      </c>
      <c r="F26" s="18" t="s">
        <v>60</v>
      </c>
      <c r="G26" s="19">
        <v>4</v>
      </c>
      <c r="H26" s="19">
        <v>33</v>
      </c>
      <c r="I26" s="19">
        <v>39.770000000000003</v>
      </c>
      <c r="J26" s="19">
        <v>74</v>
      </c>
      <c r="K26" s="19">
        <v>7</v>
      </c>
      <c r="L26" s="19">
        <v>31.62</v>
      </c>
      <c r="M26" s="5">
        <f t="shared" si="3"/>
        <v>4.5610472222222223</v>
      </c>
      <c r="N26" s="5">
        <f t="shared" si="1"/>
        <v>74.125449999999987</v>
      </c>
      <c r="O26" s="18" t="str">
        <f t="shared" si="2"/>
        <v>4°33′39.77″N 74°7′31.62″W</v>
      </c>
    </row>
    <row r="27" spans="2:15" ht="15.75" x14ac:dyDescent="0.25">
      <c r="B27" s="22">
        <v>25</v>
      </c>
      <c r="C27" s="19" t="s">
        <v>286</v>
      </c>
      <c r="D27" s="18" t="s">
        <v>1</v>
      </c>
      <c r="E27" s="23" t="s">
        <v>353</v>
      </c>
      <c r="F27" s="18" t="s">
        <v>146</v>
      </c>
      <c r="G27" s="19">
        <v>4</v>
      </c>
      <c r="H27" s="19">
        <v>37</v>
      </c>
      <c r="I27" s="19">
        <v>49.62</v>
      </c>
      <c r="J27" s="19">
        <v>74</v>
      </c>
      <c r="K27" s="19">
        <v>10</v>
      </c>
      <c r="L27" s="19">
        <v>41.63</v>
      </c>
      <c r="M27" s="5">
        <f t="shared" si="3"/>
        <v>4.6304500000000006</v>
      </c>
      <c r="N27" s="5">
        <f t="shared" si="1"/>
        <v>74.178230555555558</v>
      </c>
      <c r="O27" s="18" t="str">
        <f t="shared" si="2"/>
        <v>4°37′49.62″N 74°10′41.63″W</v>
      </c>
    </row>
    <row r="28" spans="2:15" ht="15.75" x14ac:dyDescent="0.25">
      <c r="B28" s="22">
        <v>26</v>
      </c>
      <c r="C28" s="19" t="s">
        <v>288</v>
      </c>
      <c r="D28" s="18" t="s">
        <v>1</v>
      </c>
      <c r="E28" s="23" t="s">
        <v>354</v>
      </c>
      <c r="F28" s="18" t="s">
        <v>146</v>
      </c>
      <c r="G28" s="19">
        <v>4</v>
      </c>
      <c r="H28" s="19">
        <v>37</v>
      </c>
      <c r="I28" s="19">
        <v>4.32</v>
      </c>
      <c r="J28" s="19">
        <v>74</v>
      </c>
      <c r="K28" s="19">
        <v>12</v>
      </c>
      <c r="L28" s="19">
        <v>15.21</v>
      </c>
      <c r="M28" s="5">
        <f t="shared" si="3"/>
        <v>4.617866666666667</v>
      </c>
      <c r="N28" s="5">
        <f t="shared" si="1"/>
        <v>74.204225000000008</v>
      </c>
      <c r="O28" s="18" t="str">
        <f t="shared" si="2"/>
        <v>4°37′4.32″N 74°12′15.21″W</v>
      </c>
    </row>
    <row r="29" spans="2:15" ht="15.75" x14ac:dyDescent="0.25">
      <c r="B29" s="22">
        <v>27</v>
      </c>
      <c r="C29" s="19" t="s">
        <v>289</v>
      </c>
      <c r="D29" s="18" t="s">
        <v>1</v>
      </c>
      <c r="E29" s="23" t="s">
        <v>355</v>
      </c>
      <c r="F29" s="18" t="s">
        <v>146</v>
      </c>
      <c r="G29" s="19">
        <v>4</v>
      </c>
      <c r="H29" s="19">
        <v>38</v>
      </c>
      <c r="I29" s="19">
        <v>6.49</v>
      </c>
      <c r="J29" s="19">
        <v>74</v>
      </c>
      <c r="K29" s="19">
        <v>12</v>
      </c>
      <c r="L29" s="19">
        <v>21.49</v>
      </c>
      <c r="M29" s="5">
        <f t="shared" si="3"/>
        <v>4.6351361111111107</v>
      </c>
      <c r="N29" s="5">
        <f t="shared" si="1"/>
        <v>74.205969444444449</v>
      </c>
      <c r="O29" s="18" t="str">
        <f t="shared" si="2"/>
        <v>4°38′6.49″N 74°12′21.49″W</v>
      </c>
    </row>
    <row r="30" spans="2:15" ht="15.75" x14ac:dyDescent="0.25">
      <c r="B30" s="22">
        <v>28</v>
      </c>
      <c r="C30" s="19" t="s">
        <v>287</v>
      </c>
      <c r="D30" s="18" t="s">
        <v>1</v>
      </c>
      <c r="E30" s="23" t="s">
        <v>356</v>
      </c>
      <c r="F30" s="18" t="s">
        <v>146</v>
      </c>
      <c r="G30" s="19">
        <v>4</v>
      </c>
      <c r="H30" s="19">
        <v>35</v>
      </c>
      <c r="I30" s="19">
        <v>51.27</v>
      </c>
      <c r="J30" s="19">
        <v>74</v>
      </c>
      <c r="K30" s="19">
        <v>10</v>
      </c>
      <c r="L30" s="19">
        <v>45.37</v>
      </c>
      <c r="M30" s="5">
        <f t="shared" si="3"/>
        <v>4.597575</v>
      </c>
      <c r="N30" s="5">
        <f t="shared" si="1"/>
        <v>74.179269444444444</v>
      </c>
      <c r="O30" s="18" t="str">
        <f t="shared" si="2"/>
        <v>4°35′51.27″N 74°10′45.37″W</v>
      </c>
    </row>
    <row r="31" spans="2:15" ht="15.75" x14ac:dyDescent="0.25">
      <c r="B31" s="22">
        <v>29</v>
      </c>
      <c r="C31" s="19" t="s">
        <v>286</v>
      </c>
      <c r="D31" s="18" t="s">
        <v>17</v>
      </c>
      <c r="E31" s="23" t="s">
        <v>357</v>
      </c>
      <c r="F31" s="18" t="s">
        <v>146</v>
      </c>
      <c r="G31" s="19">
        <v>4</v>
      </c>
      <c r="H31" s="19">
        <v>38</v>
      </c>
      <c r="I31" s="19">
        <v>45.17</v>
      </c>
      <c r="J31" s="19">
        <v>74</v>
      </c>
      <c r="K31" s="19">
        <v>7</v>
      </c>
      <c r="L31" s="19">
        <v>44.98</v>
      </c>
      <c r="M31" s="5">
        <f t="shared" si="3"/>
        <v>4.6458805555555553</v>
      </c>
      <c r="N31" s="5">
        <f t="shared" si="1"/>
        <v>74.129161111111102</v>
      </c>
      <c r="O31" s="18" t="str">
        <f t="shared" si="2"/>
        <v>4°38′45.17″N 74°7′44.98″W</v>
      </c>
    </row>
    <row r="32" spans="2:15" ht="15.75" x14ac:dyDescent="0.25">
      <c r="B32" s="22">
        <v>30</v>
      </c>
      <c r="C32" s="19" t="s">
        <v>288</v>
      </c>
      <c r="D32" s="18" t="s">
        <v>17</v>
      </c>
      <c r="E32" s="23" t="s">
        <v>358</v>
      </c>
      <c r="F32" s="18" t="s">
        <v>146</v>
      </c>
      <c r="G32" s="19">
        <v>4</v>
      </c>
      <c r="H32" s="19">
        <v>36</v>
      </c>
      <c r="I32" s="19">
        <v>48.44</v>
      </c>
      <c r="J32" s="19">
        <v>74</v>
      </c>
      <c r="K32" s="19">
        <v>10</v>
      </c>
      <c r="L32" s="19">
        <v>32.39</v>
      </c>
      <c r="M32" s="5">
        <f t="shared" si="3"/>
        <v>4.6134555555555554</v>
      </c>
      <c r="N32" s="5">
        <f t="shared" si="1"/>
        <v>74.175663888888892</v>
      </c>
      <c r="O32" s="18" t="str">
        <f t="shared" si="2"/>
        <v>4°36′48.44″N 74°10′32.39″W</v>
      </c>
    </row>
    <row r="33" spans="2:15" ht="15.75" x14ac:dyDescent="0.25">
      <c r="B33" s="22">
        <v>31</v>
      </c>
      <c r="C33" s="19" t="s">
        <v>289</v>
      </c>
      <c r="D33" s="18" t="s">
        <v>17</v>
      </c>
      <c r="E33" s="23" t="s">
        <v>359</v>
      </c>
      <c r="F33" s="18" t="s">
        <v>146</v>
      </c>
      <c r="G33" s="19">
        <v>4</v>
      </c>
      <c r="H33" s="19">
        <v>39</v>
      </c>
      <c r="I33" s="19">
        <v>14.99</v>
      </c>
      <c r="J33" s="19">
        <v>74</v>
      </c>
      <c r="K33" s="19">
        <v>9</v>
      </c>
      <c r="L33" s="19">
        <v>41.59</v>
      </c>
      <c r="M33" s="5">
        <f t="shared" si="3"/>
        <v>4.6541638888888892</v>
      </c>
      <c r="N33" s="5">
        <f t="shared" si="1"/>
        <v>74.161552777777786</v>
      </c>
      <c r="O33" s="18" t="str">
        <f t="shared" si="2"/>
        <v>4°39′14.99″N 74°9′41.59″W</v>
      </c>
    </row>
    <row r="34" spans="2:15" ht="15.75" x14ac:dyDescent="0.25">
      <c r="B34" s="22">
        <v>32</v>
      </c>
      <c r="C34" s="19" t="s">
        <v>287</v>
      </c>
      <c r="D34" s="18" t="s">
        <v>17</v>
      </c>
      <c r="E34" s="23" t="s">
        <v>360</v>
      </c>
      <c r="F34" s="18" t="s">
        <v>146</v>
      </c>
      <c r="G34" s="19">
        <v>4</v>
      </c>
      <c r="H34" s="19">
        <v>35</v>
      </c>
      <c r="I34" s="19">
        <v>51.7</v>
      </c>
      <c r="J34" s="19">
        <v>74</v>
      </c>
      <c r="K34" s="19">
        <v>8</v>
      </c>
      <c r="L34" s="19">
        <v>33.33</v>
      </c>
      <c r="M34" s="5">
        <f t="shared" si="3"/>
        <v>4.5976944444444445</v>
      </c>
      <c r="N34" s="5">
        <f t="shared" si="1"/>
        <v>74.142591666666675</v>
      </c>
      <c r="O34" s="18" t="str">
        <f t="shared" si="2"/>
        <v>4°35′51.7″N 74°8′33.33″W</v>
      </c>
    </row>
    <row r="35" spans="2:15" ht="15.75" x14ac:dyDescent="0.25">
      <c r="B35" s="22">
        <v>33</v>
      </c>
      <c r="C35" s="19" t="s">
        <v>286</v>
      </c>
      <c r="D35" s="18" t="s">
        <v>18</v>
      </c>
      <c r="E35" s="23" t="s">
        <v>361</v>
      </c>
      <c r="F35" s="18" t="s">
        <v>146</v>
      </c>
      <c r="G35" s="19">
        <v>4</v>
      </c>
      <c r="H35" s="19">
        <v>40</v>
      </c>
      <c r="I35" s="19">
        <v>37.64</v>
      </c>
      <c r="J35" s="19">
        <v>74</v>
      </c>
      <c r="K35" s="19">
        <v>7</v>
      </c>
      <c r="L35" s="19">
        <v>46.04</v>
      </c>
      <c r="M35" s="5">
        <f t="shared" si="3"/>
        <v>4.6771222222222226</v>
      </c>
      <c r="N35" s="5">
        <f t="shared" si="1"/>
        <v>74.129455555555552</v>
      </c>
      <c r="O35" s="18" t="str">
        <f t="shared" si="2"/>
        <v>4°40′37.64″N 74°7′46.04″W</v>
      </c>
    </row>
    <row r="36" spans="2:15" ht="15.75" x14ac:dyDescent="0.25">
      <c r="B36" s="22">
        <v>34</v>
      </c>
      <c r="C36" s="19" t="s">
        <v>288</v>
      </c>
      <c r="D36" s="18" t="s">
        <v>18</v>
      </c>
      <c r="E36" s="23" t="s">
        <v>362</v>
      </c>
      <c r="F36" s="18" t="s">
        <v>146</v>
      </c>
      <c r="G36" s="19">
        <v>4</v>
      </c>
      <c r="H36" s="19">
        <v>40</v>
      </c>
      <c r="I36" s="19">
        <v>9.7200000000000006</v>
      </c>
      <c r="J36" s="19">
        <v>74</v>
      </c>
      <c r="K36" s="19">
        <v>8</v>
      </c>
      <c r="L36" s="19">
        <v>37.700000000000003</v>
      </c>
      <c r="M36" s="5">
        <f t="shared" si="3"/>
        <v>4.6693666666666669</v>
      </c>
      <c r="N36" s="5">
        <f t="shared" si="1"/>
        <v>74.143805555555559</v>
      </c>
      <c r="O36" s="18" t="str">
        <f t="shared" si="2"/>
        <v>4°40′9.72″N 74°8′37.7″W</v>
      </c>
    </row>
    <row r="37" spans="2:15" ht="15.75" x14ac:dyDescent="0.25">
      <c r="B37" s="22">
        <v>35</v>
      </c>
      <c r="C37" s="19" t="s">
        <v>289</v>
      </c>
      <c r="D37" s="18" t="s">
        <v>18</v>
      </c>
      <c r="E37" s="23" t="s">
        <v>363</v>
      </c>
      <c r="F37" s="18" t="s">
        <v>146</v>
      </c>
      <c r="G37" s="19">
        <v>4</v>
      </c>
      <c r="H37" s="19">
        <v>41</v>
      </c>
      <c r="I37" s="19">
        <v>48.25</v>
      </c>
      <c r="J37" s="19">
        <v>74</v>
      </c>
      <c r="K37" s="19">
        <v>10</v>
      </c>
      <c r="L37" s="19">
        <v>2.2599999999999998</v>
      </c>
      <c r="M37" s="5">
        <f t="shared" si="3"/>
        <v>4.696736111111111</v>
      </c>
      <c r="N37" s="5">
        <f t="shared" si="1"/>
        <v>74.167294444444451</v>
      </c>
      <c r="O37" s="18" t="str">
        <f t="shared" si="2"/>
        <v>4°41′48.25″N 74°10′2.26″W</v>
      </c>
    </row>
    <row r="38" spans="2:15" ht="15.75" x14ac:dyDescent="0.25">
      <c r="B38" s="22">
        <v>36</v>
      </c>
      <c r="C38" s="19" t="s">
        <v>287</v>
      </c>
      <c r="D38" s="18" t="s">
        <v>18</v>
      </c>
      <c r="E38" s="23" t="s">
        <v>364</v>
      </c>
      <c r="F38" s="18" t="s">
        <v>146</v>
      </c>
      <c r="G38" s="19">
        <v>4</v>
      </c>
      <c r="H38" s="19">
        <v>38</v>
      </c>
      <c r="I38" s="19">
        <v>48.18</v>
      </c>
      <c r="J38" s="19">
        <v>74</v>
      </c>
      <c r="K38" s="19">
        <v>6</v>
      </c>
      <c r="L38" s="19">
        <v>34.340000000000003</v>
      </c>
      <c r="M38" s="5">
        <f t="shared" si="3"/>
        <v>4.6467166666666664</v>
      </c>
      <c r="N38" s="5">
        <f t="shared" si="1"/>
        <v>74.109538888888878</v>
      </c>
      <c r="O38" s="18" t="str">
        <f t="shared" si="2"/>
        <v>4°38′48.18″N 74°6′34.34″W</v>
      </c>
    </row>
    <row r="39" spans="2:15" ht="15.75" x14ac:dyDescent="0.25">
      <c r="B39" s="22">
        <v>37</v>
      </c>
      <c r="C39" s="19" t="s">
        <v>286</v>
      </c>
      <c r="D39" s="18" t="s">
        <v>2</v>
      </c>
      <c r="E39" s="23" t="s">
        <v>302</v>
      </c>
      <c r="F39" s="18" t="s">
        <v>215</v>
      </c>
      <c r="G39" s="19">
        <v>4</v>
      </c>
      <c r="H39" s="19">
        <v>43</v>
      </c>
      <c r="I39" s="19">
        <v>9.18</v>
      </c>
      <c r="J39" s="19">
        <v>74</v>
      </c>
      <c r="K39" s="19">
        <v>6</v>
      </c>
      <c r="L39" s="19">
        <v>4.33</v>
      </c>
      <c r="M39" s="5">
        <f t="shared" si="3"/>
        <v>4.7192166666666671</v>
      </c>
      <c r="N39" s="5">
        <f t="shared" si="1"/>
        <v>74.101202777777772</v>
      </c>
      <c r="O39" s="18" t="str">
        <f t="shared" si="2"/>
        <v>4°43′9.18″N 74°6′4.33″W</v>
      </c>
    </row>
    <row r="40" spans="2:15" ht="15.75" x14ac:dyDescent="0.25">
      <c r="B40" s="22">
        <v>38</v>
      </c>
      <c r="C40" s="19" t="s">
        <v>288</v>
      </c>
      <c r="D40" s="18" t="s">
        <v>2</v>
      </c>
      <c r="E40" s="23" t="s">
        <v>304</v>
      </c>
      <c r="F40" s="18" t="s">
        <v>215</v>
      </c>
      <c r="G40" s="19">
        <v>4</v>
      </c>
      <c r="H40" s="19">
        <v>40</v>
      </c>
      <c r="I40" s="19">
        <v>43.08</v>
      </c>
      <c r="J40" s="19">
        <v>74</v>
      </c>
      <c r="K40" s="19">
        <v>7</v>
      </c>
      <c r="L40" s="19">
        <v>2.4300000000000002</v>
      </c>
      <c r="M40" s="5">
        <f t="shared" ref="M40:M67" si="4">G40+(H40/60)+(I40/3600)</f>
        <v>4.6786333333333339</v>
      </c>
      <c r="N40" s="5">
        <f t="shared" si="1"/>
        <v>74.117341666666661</v>
      </c>
      <c r="O40" s="18" t="str">
        <f t="shared" si="2"/>
        <v>4°40′43.08″N 74°7′2.43″W</v>
      </c>
    </row>
    <row r="41" spans="2:15" ht="15.75" x14ac:dyDescent="0.25">
      <c r="B41" s="22">
        <v>39</v>
      </c>
      <c r="C41" s="19" t="s">
        <v>289</v>
      </c>
      <c r="D41" s="18" t="s">
        <v>2</v>
      </c>
      <c r="E41" s="23" t="s">
        <v>310</v>
      </c>
      <c r="F41" s="18" t="s">
        <v>215</v>
      </c>
      <c r="G41" s="19">
        <v>4</v>
      </c>
      <c r="H41" s="19">
        <v>43</v>
      </c>
      <c r="I41" s="19">
        <v>29.03</v>
      </c>
      <c r="J41" s="19">
        <v>74</v>
      </c>
      <c r="K41" s="19">
        <v>8</v>
      </c>
      <c r="L41" s="19">
        <v>12.19</v>
      </c>
      <c r="M41" s="5">
        <f t="shared" si="4"/>
        <v>4.7247305555555554</v>
      </c>
      <c r="N41" s="5">
        <f t="shared" si="1"/>
        <v>74.136719444444452</v>
      </c>
      <c r="O41" s="18" t="str">
        <f t="shared" si="2"/>
        <v>4°43′29.03″N 74°8′12.19″W</v>
      </c>
    </row>
    <row r="42" spans="2:15" ht="15.75" x14ac:dyDescent="0.25">
      <c r="B42" s="22">
        <v>40</v>
      </c>
      <c r="C42" s="19" t="s">
        <v>287</v>
      </c>
      <c r="D42" s="18" t="s">
        <v>2</v>
      </c>
      <c r="E42" s="23" t="s">
        <v>303</v>
      </c>
      <c r="F42" s="18" t="s">
        <v>215</v>
      </c>
      <c r="G42" s="19">
        <v>4</v>
      </c>
      <c r="H42" s="19">
        <v>40</v>
      </c>
      <c r="I42" s="19">
        <v>47.76</v>
      </c>
      <c r="J42" s="19">
        <v>74</v>
      </c>
      <c r="K42" s="19">
        <v>5</v>
      </c>
      <c r="L42" s="19">
        <v>9.1</v>
      </c>
      <c r="M42" s="5">
        <f t="shared" si="4"/>
        <v>4.6799333333333335</v>
      </c>
      <c r="N42" s="5">
        <f t="shared" si="1"/>
        <v>74.0858611111111</v>
      </c>
      <c r="O42" s="18" t="str">
        <f t="shared" si="2"/>
        <v>4°40′47.76″N 74°5′9.1″W</v>
      </c>
    </row>
    <row r="43" spans="2:15" ht="15.75" x14ac:dyDescent="0.25">
      <c r="B43" s="22">
        <v>41</v>
      </c>
      <c r="C43" s="19" t="s">
        <v>286</v>
      </c>
      <c r="D43" s="18" t="s">
        <v>3</v>
      </c>
      <c r="E43" s="23" t="s">
        <v>305</v>
      </c>
      <c r="F43" s="18" t="s">
        <v>215</v>
      </c>
      <c r="G43" s="19">
        <v>4</v>
      </c>
      <c r="H43" s="19">
        <v>49</v>
      </c>
      <c r="I43" s="19">
        <v>5.67</v>
      </c>
      <c r="J43" s="19">
        <v>74</v>
      </c>
      <c r="K43" s="19">
        <v>4</v>
      </c>
      <c r="L43" s="19">
        <v>22.46</v>
      </c>
      <c r="M43" s="5">
        <f t="shared" si="4"/>
        <v>4.8182416666666663</v>
      </c>
      <c r="N43" s="5">
        <f t="shared" si="1"/>
        <v>74.07290555555555</v>
      </c>
      <c r="O43" s="18" t="str">
        <f t="shared" si="2"/>
        <v>4°49′5.67″N 74°4′22.46″W</v>
      </c>
    </row>
    <row r="44" spans="2:15" ht="15.75" x14ac:dyDescent="0.25">
      <c r="B44" s="22">
        <v>42</v>
      </c>
      <c r="C44" s="19" t="s">
        <v>288</v>
      </c>
      <c r="D44" s="18" t="s">
        <v>3</v>
      </c>
      <c r="E44" s="23" t="s">
        <v>306</v>
      </c>
      <c r="F44" s="18" t="s">
        <v>215</v>
      </c>
      <c r="G44" s="19">
        <v>4</v>
      </c>
      <c r="H44" s="19">
        <v>41</v>
      </c>
      <c r="I44" s="19">
        <v>30.72</v>
      </c>
      <c r="J44" s="19">
        <v>74</v>
      </c>
      <c r="K44" s="19">
        <v>4</v>
      </c>
      <c r="L44" s="19">
        <v>28.64</v>
      </c>
      <c r="M44" s="5">
        <f t="shared" si="4"/>
        <v>4.6918666666666669</v>
      </c>
      <c r="N44" s="5">
        <f t="shared" si="1"/>
        <v>74.074622222222217</v>
      </c>
      <c r="O44" s="18" t="str">
        <f t="shared" si="2"/>
        <v>4°41′30.72″N 74°4′28.64″W</v>
      </c>
    </row>
    <row r="45" spans="2:15" ht="15.75" x14ac:dyDescent="0.25">
      <c r="B45" s="22">
        <v>43</v>
      </c>
      <c r="C45" s="19" t="s">
        <v>289</v>
      </c>
      <c r="D45" s="18" t="s">
        <v>3</v>
      </c>
      <c r="E45" s="23" t="s">
        <v>308</v>
      </c>
      <c r="F45" s="18" t="s">
        <v>215</v>
      </c>
      <c r="G45" s="19">
        <v>4</v>
      </c>
      <c r="H45" s="19">
        <v>45</v>
      </c>
      <c r="I45" s="19">
        <v>20.23</v>
      </c>
      <c r="J45" s="19">
        <v>74</v>
      </c>
      <c r="K45" s="19">
        <v>6</v>
      </c>
      <c r="L45" s="19">
        <v>48.58</v>
      </c>
      <c r="M45" s="5">
        <f t="shared" si="4"/>
        <v>4.7556194444444442</v>
      </c>
      <c r="N45" s="5">
        <f t="shared" si="1"/>
        <v>74.113494444444441</v>
      </c>
      <c r="O45" s="18" t="str">
        <f t="shared" si="2"/>
        <v>4°45′20.23″N 74°6′48.58″W</v>
      </c>
    </row>
    <row r="46" spans="2:15" ht="15.75" x14ac:dyDescent="0.25">
      <c r="B46" s="22">
        <v>44</v>
      </c>
      <c r="C46" s="19" t="s">
        <v>287</v>
      </c>
      <c r="D46" s="18" t="s">
        <v>3</v>
      </c>
      <c r="E46" s="23" t="s">
        <v>307</v>
      </c>
      <c r="F46" s="18" t="s">
        <v>215</v>
      </c>
      <c r="G46" s="19">
        <v>4</v>
      </c>
      <c r="H46" s="19">
        <v>44</v>
      </c>
      <c r="I46" s="19">
        <v>9.92</v>
      </c>
      <c r="J46" s="19">
        <v>74</v>
      </c>
      <c r="K46" s="19">
        <v>2</v>
      </c>
      <c r="L46" s="19">
        <v>59.63</v>
      </c>
      <c r="M46" s="5">
        <f t="shared" si="4"/>
        <v>4.7360888888888892</v>
      </c>
      <c r="N46" s="5">
        <f t="shared" si="1"/>
        <v>74.049897222222214</v>
      </c>
      <c r="O46" s="18" t="str">
        <f t="shared" si="2"/>
        <v>4°44′9.92″N 74°2′59.63″W</v>
      </c>
    </row>
    <row r="47" spans="2:15" ht="15.75" x14ac:dyDescent="0.25">
      <c r="B47" s="22">
        <v>45</v>
      </c>
      <c r="C47" s="19" t="s">
        <v>286</v>
      </c>
      <c r="D47" s="18" t="s">
        <v>4</v>
      </c>
      <c r="E47" s="23" t="s">
        <v>299</v>
      </c>
      <c r="F47" s="18" t="s">
        <v>215</v>
      </c>
      <c r="G47" s="19">
        <v>4</v>
      </c>
      <c r="H47" s="19">
        <v>41</v>
      </c>
      <c r="I47" s="19">
        <v>17.71</v>
      </c>
      <c r="J47" s="19">
        <v>74</v>
      </c>
      <c r="K47" s="19">
        <v>3</v>
      </c>
      <c r="L47" s="19">
        <v>51.88</v>
      </c>
      <c r="M47" s="5">
        <f t="shared" si="4"/>
        <v>4.6882527777777776</v>
      </c>
      <c r="N47" s="5">
        <f t="shared" si="1"/>
        <v>74.064411111111113</v>
      </c>
      <c r="O47" s="18" t="str">
        <f t="shared" si="2"/>
        <v>4°41′17.71″N 74°3′51.88″W</v>
      </c>
    </row>
    <row r="48" spans="2:15" ht="15.75" x14ac:dyDescent="0.25">
      <c r="B48" s="22">
        <v>46</v>
      </c>
      <c r="C48" s="19" t="s">
        <v>288</v>
      </c>
      <c r="D48" s="18" t="s">
        <v>4</v>
      </c>
      <c r="E48" s="23" t="s">
        <v>300</v>
      </c>
      <c r="F48" s="18" t="s">
        <v>215</v>
      </c>
      <c r="G48" s="19">
        <v>4</v>
      </c>
      <c r="H48" s="19">
        <v>39</v>
      </c>
      <c r="I48" s="19">
        <v>33.74</v>
      </c>
      <c r="J48" s="19">
        <v>74</v>
      </c>
      <c r="K48" s="19">
        <v>5</v>
      </c>
      <c r="L48" s="19">
        <v>7.63</v>
      </c>
      <c r="M48" s="5">
        <f t="shared" si="4"/>
        <v>4.6593722222222222</v>
      </c>
      <c r="N48" s="5">
        <f t="shared" si="1"/>
        <v>74.085452777777775</v>
      </c>
      <c r="O48" s="18" t="str">
        <f t="shared" si="2"/>
        <v>4°39′33.74″N 74°5′7.63″W</v>
      </c>
    </row>
    <row r="49" spans="2:15" ht="15.75" x14ac:dyDescent="0.25">
      <c r="B49" s="22">
        <v>47</v>
      </c>
      <c r="C49" s="19" t="s">
        <v>289</v>
      </c>
      <c r="D49" s="18" t="s">
        <v>4</v>
      </c>
      <c r="E49" s="23" t="s">
        <v>301</v>
      </c>
      <c r="F49" s="18" t="s">
        <v>215</v>
      </c>
      <c r="G49" s="19">
        <v>4</v>
      </c>
      <c r="H49" s="19">
        <v>40</v>
      </c>
      <c r="I49" s="19">
        <v>49.43</v>
      </c>
      <c r="J49" s="19">
        <v>74</v>
      </c>
      <c r="K49" s="19">
        <v>4</v>
      </c>
      <c r="L49" s="19">
        <v>55.71</v>
      </c>
      <c r="M49" s="5">
        <f t="shared" si="4"/>
        <v>4.6803972222222221</v>
      </c>
      <c r="N49" s="5">
        <f t="shared" si="1"/>
        <v>74.082141666666658</v>
      </c>
      <c r="O49" s="18" t="str">
        <f t="shared" si="2"/>
        <v>4°40′49.43″N 74°4′55.71″W</v>
      </c>
    </row>
    <row r="50" spans="2:15" ht="15.75" x14ac:dyDescent="0.25">
      <c r="B50" s="22">
        <v>48</v>
      </c>
      <c r="C50" s="19" t="s">
        <v>287</v>
      </c>
      <c r="D50" s="18" t="s">
        <v>4</v>
      </c>
      <c r="E50" s="23" t="s">
        <v>309</v>
      </c>
      <c r="F50" s="18" t="s">
        <v>215</v>
      </c>
      <c r="G50" s="19">
        <v>4</v>
      </c>
      <c r="H50" s="19">
        <v>39</v>
      </c>
      <c r="I50" s="19">
        <v>41.16</v>
      </c>
      <c r="J50" s="19">
        <v>74</v>
      </c>
      <c r="K50" s="19">
        <v>3</v>
      </c>
      <c r="L50" s="19">
        <v>42.88</v>
      </c>
      <c r="M50" s="5">
        <f t="shared" si="4"/>
        <v>4.661433333333334</v>
      </c>
      <c r="N50" s="5">
        <f t="shared" si="1"/>
        <v>74.061911111111115</v>
      </c>
      <c r="O50" s="18" t="str">
        <f t="shared" si="2"/>
        <v>4°39′41.16″N 74°3′42.88″W</v>
      </c>
    </row>
    <row r="51" spans="2:15" ht="15.75" x14ac:dyDescent="0.25">
      <c r="B51" s="22">
        <v>49</v>
      </c>
      <c r="C51" s="19" t="s">
        <v>286</v>
      </c>
      <c r="D51" s="18" t="s">
        <v>5</v>
      </c>
      <c r="E51" s="18" t="s">
        <v>312</v>
      </c>
      <c r="F51" s="18" t="s">
        <v>215</v>
      </c>
      <c r="G51" s="19">
        <v>4</v>
      </c>
      <c r="H51" s="19">
        <v>38</v>
      </c>
      <c r="I51" s="19">
        <v>59.64</v>
      </c>
      <c r="J51" s="19">
        <v>74</v>
      </c>
      <c r="K51" s="19">
        <v>4</v>
      </c>
      <c r="L51" s="19">
        <v>55.65</v>
      </c>
      <c r="M51" s="5">
        <f t="shared" si="4"/>
        <v>4.6498999999999997</v>
      </c>
      <c r="N51" s="5">
        <f t="shared" si="1"/>
        <v>74.082124999999991</v>
      </c>
      <c r="O51" s="18" t="str">
        <f t="shared" si="2"/>
        <v>4°38′59.64″N 74°4′55.65″W</v>
      </c>
    </row>
    <row r="52" spans="2:15" ht="15.75" x14ac:dyDescent="0.25">
      <c r="B52" s="22">
        <v>50</v>
      </c>
      <c r="C52" s="19" t="s">
        <v>288</v>
      </c>
      <c r="D52" s="18" t="s">
        <v>5</v>
      </c>
      <c r="E52" s="23" t="s">
        <v>311</v>
      </c>
      <c r="F52" s="18" t="s">
        <v>215</v>
      </c>
      <c r="G52" s="19">
        <v>4</v>
      </c>
      <c r="H52" s="19">
        <v>37</v>
      </c>
      <c r="I52" s="19">
        <v>43.61</v>
      </c>
      <c r="J52" s="19">
        <v>74</v>
      </c>
      <c r="K52" s="19">
        <v>5</v>
      </c>
      <c r="L52" s="19">
        <v>26.16</v>
      </c>
      <c r="M52" s="5">
        <f t="shared" si="4"/>
        <v>4.6287805555555561</v>
      </c>
      <c r="N52" s="5">
        <f t="shared" si="1"/>
        <v>74.090599999999995</v>
      </c>
      <c r="O52" s="18" t="str">
        <f t="shared" si="2"/>
        <v>4°37′43.61″N 74°5′26.16″W</v>
      </c>
    </row>
    <row r="53" spans="2:15" ht="15.75" x14ac:dyDescent="0.25">
      <c r="B53" s="22">
        <v>51</v>
      </c>
      <c r="C53" s="19" t="s">
        <v>289</v>
      </c>
      <c r="D53" s="18" t="s">
        <v>5</v>
      </c>
      <c r="E53" s="23" t="s">
        <v>314</v>
      </c>
      <c r="F53" s="18" t="s">
        <v>215</v>
      </c>
      <c r="G53" s="19">
        <v>4</v>
      </c>
      <c r="H53" s="19">
        <v>39</v>
      </c>
      <c r="I53" s="19">
        <v>9.41</v>
      </c>
      <c r="J53" s="19">
        <v>74</v>
      </c>
      <c r="K53" s="19">
        <v>6</v>
      </c>
      <c r="L53" s="19">
        <v>6.21</v>
      </c>
      <c r="M53" s="5">
        <f t="shared" si="4"/>
        <v>4.6526138888888893</v>
      </c>
      <c r="N53" s="5">
        <f t="shared" si="1"/>
        <v>74.101724999999988</v>
      </c>
      <c r="O53" s="18" t="str">
        <f t="shared" si="2"/>
        <v>4°39′9.41″N 74°6′6.21″W</v>
      </c>
    </row>
    <row r="54" spans="2:15" ht="15.75" x14ac:dyDescent="0.25">
      <c r="B54" s="22">
        <v>52</v>
      </c>
      <c r="C54" s="19" t="s">
        <v>287</v>
      </c>
      <c r="D54" s="18" t="s">
        <v>5</v>
      </c>
      <c r="E54" s="23" t="s">
        <v>313</v>
      </c>
      <c r="F54" s="18" t="s">
        <v>215</v>
      </c>
      <c r="G54" s="19">
        <v>4</v>
      </c>
      <c r="H54" s="19">
        <v>38</v>
      </c>
      <c r="I54" s="19">
        <v>6.13</v>
      </c>
      <c r="J54" s="19">
        <v>74</v>
      </c>
      <c r="K54" s="19">
        <v>4</v>
      </c>
      <c r="L54" s="19">
        <v>2.88</v>
      </c>
      <c r="M54" s="5">
        <f t="shared" si="4"/>
        <v>4.6350361111111109</v>
      </c>
      <c r="N54" s="5">
        <f t="shared" si="1"/>
        <v>74.067466666666661</v>
      </c>
      <c r="O54" s="18" t="str">
        <f t="shared" si="2"/>
        <v>4°38′6.13″N 74°4′2.88″W</v>
      </c>
    </row>
    <row r="55" spans="2:15" ht="15.75" x14ac:dyDescent="0.25">
      <c r="B55" s="22">
        <v>53</v>
      </c>
      <c r="C55" s="19" t="s">
        <v>286</v>
      </c>
      <c r="D55" s="18" t="s">
        <v>246</v>
      </c>
      <c r="E55" s="23" t="s">
        <v>327</v>
      </c>
      <c r="F55" s="18" t="s">
        <v>61</v>
      </c>
      <c r="G55" s="19">
        <v>4</v>
      </c>
      <c r="H55" s="19">
        <v>37</v>
      </c>
      <c r="I55" s="19">
        <v>9.4600000000000009</v>
      </c>
      <c r="J55" s="19">
        <v>74</v>
      </c>
      <c r="K55" s="19">
        <v>4</v>
      </c>
      <c r="L55" s="19">
        <v>34.090000000000003</v>
      </c>
      <c r="M55" s="5">
        <f t="shared" si="4"/>
        <v>4.6192944444444448</v>
      </c>
      <c r="N55" s="5">
        <f t="shared" si="1"/>
        <v>74.076136111111111</v>
      </c>
      <c r="O55" s="18" t="str">
        <f t="shared" si="2"/>
        <v>4°37′9.46″N 74°4′34.09″W</v>
      </c>
    </row>
    <row r="56" spans="2:15" ht="15.75" x14ac:dyDescent="0.25">
      <c r="B56" s="22">
        <v>54</v>
      </c>
      <c r="C56" s="19" t="s">
        <v>288</v>
      </c>
      <c r="D56" s="18" t="s">
        <v>246</v>
      </c>
      <c r="E56" s="23" t="s">
        <v>328</v>
      </c>
      <c r="F56" s="18" t="s">
        <v>61</v>
      </c>
      <c r="G56" s="19">
        <v>4</v>
      </c>
      <c r="H56" s="19">
        <v>35</v>
      </c>
      <c r="I56" s="19">
        <v>44.57</v>
      </c>
      <c r="J56" s="19">
        <v>74</v>
      </c>
      <c r="K56" s="19">
        <v>5</v>
      </c>
      <c r="L56" s="19">
        <v>46.18</v>
      </c>
      <c r="M56" s="5">
        <f t="shared" si="4"/>
        <v>4.5957138888888887</v>
      </c>
      <c r="N56" s="5">
        <f t="shared" si="1"/>
        <v>74.096161111111101</v>
      </c>
      <c r="O56" s="18" t="str">
        <f t="shared" si="2"/>
        <v>4°35′44.57″N 74°5′46.18″W</v>
      </c>
    </row>
    <row r="57" spans="2:15" ht="15.75" x14ac:dyDescent="0.25">
      <c r="B57" s="22">
        <v>55</v>
      </c>
      <c r="C57" s="19" t="s">
        <v>289</v>
      </c>
      <c r="D57" s="18" t="s">
        <v>246</v>
      </c>
      <c r="E57" s="23" t="s">
        <v>329</v>
      </c>
      <c r="F57" s="18" t="s">
        <v>61</v>
      </c>
      <c r="G57" s="19">
        <v>4</v>
      </c>
      <c r="H57" s="19">
        <v>36</v>
      </c>
      <c r="I57" s="19">
        <v>33.74</v>
      </c>
      <c r="J57" s="19">
        <v>74</v>
      </c>
      <c r="K57" s="19">
        <v>5</v>
      </c>
      <c r="L57" s="19">
        <v>40.619999999999997</v>
      </c>
      <c r="M57" s="5">
        <f t="shared" si="4"/>
        <v>4.6093722222222215</v>
      </c>
      <c r="N57" s="5">
        <f t="shared" si="1"/>
        <v>74.094616666666667</v>
      </c>
      <c r="O57" s="18" t="str">
        <f t="shared" si="2"/>
        <v>4°36′33.74″N 74°5′40.62″W</v>
      </c>
    </row>
    <row r="58" spans="2:15" ht="15.75" x14ac:dyDescent="0.25">
      <c r="B58" s="22">
        <v>56</v>
      </c>
      <c r="C58" s="19" t="s">
        <v>287</v>
      </c>
      <c r="D58" s="18" t="s">
        <v>246</v>
      </c>
      <c r="E58" s="23" t="s">
        <v>330</v>
      </c>
      <c r="F58" s="18" t="s">
        <v>61</v>
      </c>
      <c r="G58" s="19">
        <v>4</v>
      </c>
      <c r="H58" s="19">
        <v>36</v>
      </c>
      <c r="I58" s="19">
        <v>11.78</v>
      </c>
      <c r="J58" s="19">
        <v>74</v>
      </c>
      <c r="K58" s="19">
        <v>4</v>
      </c>
      <c r="L58" s="19">
        <v>51.61</v>
      </c>
      <c r="M58" s="5">
        <f t="shared" si="4"/>
        <v>4.6032722222222215</v>
      </c>
      <c r="N58" s="5">
        <f t="shared" si="1"/>
        <v>74.081002777777769</v>
      </c>
      <c r="O58" s="18" t="str">
        <f t="shared" si="2"/>
        <v>4°36′11.78″N 74°4′51.61″W</v>
      </c>
    </row>
    <row r="59" spans="2:15" ht="15.75" x14ac:dyDescent="0.25">
      <c r="B59" s="22">
        <v>57</v>
      </c>
      <c r="C59" s="19" t="s">
        <v>286</v>
      </c>
      <c r="D59" s="18" t="s">
        <v>6</v>
      </c>
      <c r="E59" s="23" t="s">
        <v>370</v>
      </c>
      <c r="F59" s="18" t="s">
        <v>61</v>
      </c>
      <c r="G59" s="19">
        <v>4</v>
      </c>
      <c r="H59" s="19">
        <v>35</v>
      </c>
      <c r="I59" s="19">
        <v>34.94</v>
      </c>
      <c r="J59" s="19">
        <v>74</v>
      </c>
      <c r="K59" s="19">
        <v>5</v>
      </c>
      <c r="L59" s="19">
        <v>49.07</v>
      </c>
      <c r="M59" s="5">
        <f t="shared" si="4"/>
        <v>4.5930388888888887</v>
      </c>
      <c r="N59" s="5">
        <f t="shared" si="1"/>
        <v>74.09696388888888</v>
      </c>
      <c r="O59" s="18" t="str">
        <f t="shared" si="2"/>
        <v>4°35′34.94″N 74°5′49.07″W</v>
      </c>
    </row>
    <row r="60" spans="2:15" ht="15.75" x14ac:dyDescent="0.25">
      <c r="B60" s="22">
        <v>58</v>
      </c>
      <c r="C60" s="19" t="s">
        <v>288</v>
      </c>
      <c r="D60" s="18" t="s">
        <v>6</v>
      </c>
      <c r="E60" s="23" t="s">
        <v>331</v>
      </c>
      <c r="F60" s="18" t="s">
        <v>61</v>
      </c>
      <c r="G60" s="19">
        <v>4</v>
      </c>
      <c r="H60" s="19">
        <v>35</v>
      </c>
      <c r="I60" s="19">
        <v>33.880000000000003</v>
      </c>
      <c r="J60" s="19">
        <v>74</v>
      </c>
      <c r="K60" s="19">
        <v>7</v>
      </c>
      <c r="L60" s="19">
        <v>38.44</v>
      </c>
      <c r="M60" s="5">
        <f t="shared" si="4"/>
        <v>4.5927444444444445</v>
      </c>
      <c r="N60" s="5">
        <f t="shared" si="1"/>
        <v>74.127344444444432</v>
      </c>
      <c r="O60" s="18" t="str">
        <f t="shared" si="2"/>
        <v>4°35′33.88″N 74°7′38.44″W</v>
      </c>
    </row>
    <row r="61" spans="2:15" ht="15.75" x14ac:dyDescent="0.25">
      <c r="B61" s="22">
        <v>59</v>
      </c>
      <c r="C61" s="19" t="s">
        <v>289</v>
      </c>
      <c r="D61" s="18" t="s">
        <v>6</v>
      </c>
      <c r="E61" s="23" t="s">
        <v>333</v>
      </c>
      <c r="F61" s="18" t="s">
        <v>61</v>
      </c>
      <c r="G61" s="19">
        <v>4</v>
      </c>
      <c r="H61" s="19">
        <v>35</v>
      </c>
      <c r="I61" s="19">
        <v>47.29</v>
      </c>
      <c r="J61" s="19">
        <v>74</v>
      </c>
      <c r="K61" s="19">
        <v>6</v>
      </c>
      <c r="L61" s="19">
        <v>27.78</v>
      </c>
      <c r="M61" s="5">
        <f t="shared" si="4"/>
        <v>4.5964694444444438</v>
      </c>
      <c r="N61" s="5">
        <f t="shared" si="1"/>
        <v>74.107716666666661</v>
      </c>
      <c r="O61" s="18" t="str">
        <f t="shared" si="2"/>
        <v>4°35′47.29″N 74°6′27.78″W</v>
      </c>
    </row>
    <row r="62" spans="2:15" ht="15.75" x14ac:dyDescent="0.25">
      <c r="B62" s="22">
        <v>60</v>
      </c>
      <c r="C62" s="19" t="s">
        <v>287</v>
      </c>
      <c r="D62" s="18" t="s">
        <v>6</v>
      </c>
      <c r="E62" s="23" t="s">
        <v>332</v>
      </c>
      <c r="F62" s="18" t="s">
        <v>61</v>
      </c>
      <c r="G62" s="19">
        <v>4</v>
      </c>
      <c r="H62" s="19">
        <v>34</v>
      </c>
      <c r="I62" s="19">
        <v>43.38</v>
      </c>
      <c r="J62" s="19">
        <v>74</v>
      </c>
      <c r="K62" s="19">
        <v>5</v>
      </c>
      <c r="L62" s="19">
        <v>33.75</v>
      </c>
      <c r="M62" s="5">
        <f t="shared" si="4"/>
        <v>4.5787166666666668</v>
      </c>
      <c r="N62" s="5">
        <f t="shared" si="1"/>
        <v>74.092708333333334</v>
      </c>
      <c r="O62" s="18" t="str">
        <f t="shared" si="2"/>
        <v>4°34′43.38″N 74°5′33.75″W</v>
      </c>
    </row>
    <row r="63" spans="2:15" ht="15.75" x14ac:dyDescent="0.25">
      <c r="B63" s="22">
        <v>61</v>
      </c>
      <c r="C63" s="19" t="s">
        <v>286</v>
      </c>
      <c r="D63" s="18" t="s">
        <v>7</v>
      </c>
      <c r="E63" s="23" t="s">
        <v>365</v>
      </c>
      <c r="F63" s="18" t="s">
        <v>146</v>
      </c>
      <c r="G63" s="19">
        <v>4</v>
      </c>
      <c r="H63" s="19">
        <v>37</v>
      </c>
      <c r="I63" s="19">
        <v>33.25</v>
      </c>
      <c r="J63" s="19">
        <v>74</v>
      </c>
      <c r="K63" s="19">
        <v>5</v>
      </c>
      <c r="L63" s="19">
        <v>8.69</v>
      </c>
      <c r="M63" s="5">
        <f t="shared" si="4"/>
        <v>4.6259027777777781</v>
      </c>
      <c r="N63" s="5">
        <f t="shared" si="1"/>
        <v>74.085747222222224</v>
      </c>
      <c r="O63" s="18" t="str">
        <f t="shared" si="2"/>
        <v>4°37′33.25″N 74°5′8.69″W</v>
      </c>
    </row>
    <row r="64" spans="2:15" ht="15.75" x14ac:dyDescent="0.25">
      <c r="B64" s="22">
        <v>62</v>
      </c>
      <c r="C64" s="19" t="s">
        <v>288</v>
      </c>
      <c r="D64" s="18" t="s">
        <v>7</v>
      </c>
      <c r="E64" s="23" t="s">
        <v>366</v>
      </c>
      <c r="F64" s="18" t="s">
        <v>146</v>
      </c>
      <c r="G64" s="19">
        <v>4</v>
      </c>
      <c r="H64" s="19">
        <v>35</v>
      </c>
      <c r="I64" s="19">
        <v>47.79</v>
      </c>
      <c r="J64" s="19">
        <v>74</v>
      </c>
      <c r="K64" s="19">
        <v>8</v>
      </c>
      <c r="L64" s="19">
        <v>3.27</v>
      </c>
      <c r="M64" s="5">
        <f t="shared" si="4"/>
        <v>4.5966083333333332</v>
      </c>
      <c r="N64" s="5">
        <f t="shared" si="1"/>
        <v>74.134241666666668</v>
      </c>
      <c r="O64" s="18" t="str">
        <f t="shared" si="2"/>
        <v>4°35′47.79″N 74°8′3.27″W</v>
      </c>
    </row>
    <row r="65" spans="2:15" ht="15.75" x14ac:dyDescent="0.25">
      <c r="B65" s="22">
        <v>63</v>
      </c>
      <c r="C65" s="19" t="s">
        <v>289</v>
      </c>
      <c r="D65" s="18" t="s">
        <v>7</v>
      </c>
      <c r="E65" s="23" t="s">
        <v>367</v>
      </c>
      <c r="F65" s="18" t="s">
        <v>146</v>
      </c>
      <c r="G65" s="19">
        <v>4</v>
      </c>
      <c r="H65" s="19">
        <v>38</v>
      </c>
      <c r="I65" s="19">
        <v>2.44</v>
      </c>
      <c r="J65" s="19">
        <v>74</v>
      </c>
      <c r="K65" s="19">
        <v>7</v>
      </c>
      <c r="L65" s="19">
        <v>1.1399999999999999</v>
      </c>
      <c r="M65" s="5">
        <f t="shared" si="4"/>
        <v>4.6340111111111106</v>
      </c>
      <c r="N65" s="5">
        <f t="shared" si="1"/>
        <v>74.116983333333323</v>
      </c>
      <c r="O65" s="18" t="str">
        <f t="shared" si="2"/>
        <v>4°38′2.44″N 74°7′1.14″W</v>
      </c>
    </row>
    <row r="66" spans="2:15" ht="15.75" x14ac:dyDescent="0.25">
      <c r="B66" s="22">
        <v>64</v>
      </c>
      <c r="C66" s="19" t="s">
        <v>287</v>
      </c>
      <c r="D66" s="18" t="s">
        <v>7</v>
      </c>
      <c r="E66" s="23" t="s">
        <v>368</v>
      </c>
      <c r="F66" s="18" t="s">
        <v>146</v>
      </c>
      <c r="G66" s="19">
        <v>4</v>
      </c>
      <c r="H66" s="19">
        <v>36</v>
      </c>
      <c r="I66" s="19">
        <v>41.62</v>
      </c>
      <c r="J66" s="19">
        <v>74</v>
      </c>
      <c r="K66" s="19">
        <v>5</v>
      </c>
      <c r="L66" s="19">
        <v>41.28</v>
      </c>
      <c r="M66" s="5">
        <f t="shared" si="4"/>
        <v>4.6115611111111106</v>
      </c>
      <c r="N66" s="5">
        <f t="shared" si="1"/>
        <v>74.094799999999992</v>
      </c>
      <c r="O66" s="18" t="str">
        <f t="shared" si="2"/>
        <v>4°36′41.62″N 74°5′41.28″W</v>
      </c>
    </row>
    <row r="67" spans="2:15" ht="15.75" x14ac:dyDescent="0.25">
      <c r="B67" s="22">
        <v>65</v>
      </c>
      <c r="C67" s="19" t="s">
        <v>286</v>
      </c>
      <c r="D67" s="18" t="s">
        <v>8</v>
      </c>
      <c r="E67" s="23" t="s">
        <v>319</v>
      </c>
      <c r="F67" s="18" t="s">
        <v>61</v>
      </c>
      <c r="G67" s="19">
        <v>4</v>
      </c>
      <c r="H67" s="19">
        <v>36</v>
      </c>
      <c r="I67" s="19">
        <v>8.83</v>
      </c>
      <c r="J67" s="19">
        <v>74</v>
      </c>
      <c r="K67" s="19">
        <v>3</v>
      </c>
      <c r="L67" s="19">
        <v>46.81</v>
      </c>
      <c r="M67" s="5">
        <f t="shared" si="4"/>
        <v>4.6024527777777777</v>
      </c>
      <c r="N67" s="5">
        <f t="shared" si="1"/>
        <v>74.063002777777768</v>
      </c>
      <c r="O67" s="18" t="str">
        <f t="shared" si="2"/>
        <v>4°36′8.83″N 74°3′46.81″W</v>
      </c>
    </row>
    <row r="68" spans="2:15" ht="15.75" x14ac:dyDescent="0.25">
      <c r="B68" s="22">
        <v>66</v>
      </c>
      <c r="C68" s="19" t="s">
        <v>288</v>
      </c>
      <c r="D68" s="18" t="s">
        <v>8</v>
      </c>
      <c r="E68" s="23" t="s">
        <v>320</v>
      </c>
      <c r="F68" s="18" t="s">
        <v>61</v>
      </c>
      <c r="G68" s="19">
        <v>4</v>
      </c>
      <c r="H68" s="19">
        <v>35</v>
      </c>
      <c r="I68" s="19">
        <v>33.85</v>
      </c>
      <c r="J68" s="19">
        <v>74</v>
      </c>
      <c r="K68" s="19">
        <v>4</v>
      </c>
      <c r="L68" s="19">
        <v>42.24</v>
      </c>
      <c r="M68" s="5">
        <f t="shared" ref="M68:M82" si="5">G68+(H68/60)+(I68/3600)</f>
        <v>4.5927361111111109</v>
      </c>
      <c r="N68" s="5">
        <f t="shared" ref="N68:N82" si="6">J68+(K68/60)+(L68/3600)</f>
        <v>74.078400000000002</v>
      </c>
      <c r="O68" s="18" t="str">
        <f t="shared" ref="O68:O82" si="7">G68&amp;"°"&amp;H68&amp;"′"&amp;SUBSTITUTE(I68,",",".")&amp;"″"&amp;"N "&amp;J68&amp;"°"&amp;K68&amp;"′"&amp;SUBSTITUTE(L68,",",".")&amp;"″"&amp;"W"</f>
        <v>4°35′33.85″N 74°4′42.24″W</v>
      </c>
    </row>
    <row r="69" spans="2:15" ht="15.75" x14ac:dyDescent="0.25">
      <c r="B69" s="22">
        <v>67</v>
      </c>
      <c r="C69" s="19" t="s">
        <v>289</v>
      </c>
      <c r="D69" s="18" t="s">
        <v>8</v>
      </c>
      <c r="E69" s="23" t="s">
        <v>321</v>
      </c>
      <c r="F69" s="18" t="s">
        <v>61</v>
      </c>
      <c r="G69" s="19">
        <v>4</v>
      </c>
      <c r="H69" s="19">
        <v>35</v>
      </c>
      <c r="I69" s="19">
        <v>54.72</v>
      </c>
      <c r="J69" s="19">
        <v>74</v>
      </c>
      <c r="K69" s="19">
        <v>4</v>
      </c>
      <c r="L69" s="19">
        <v>41.28</v>
      </c>
      <c r="M69" s="5">
        <f t="shared" si="5"/>
        <v>4.5985333333333331</v>
      </c>
      <c r="N69" s="5">
        <f t="shared" si="6"/>
        <v>74.078133333333327</v>
      </c>
      <c r="O69" s="18" t="str">
        <f t="shared" si="7"/>
        <v>4°35′54.72″N 74°4′41.28″W</v>
      </c>
    </row>
    <row r="70" spans="2:15" ht="15.75" x14ac:dyDescent="0.25">
      <c r="B70" s="22">
        <v>68</v>
      </c>
      <c r="C70" s="19" t="s">
        <v>287</v>
      </c>
      <c r="D70" s="18" t="s">
        <v>8</v>
      </c>
      <c r="E70" s="23" t="s">
        <v>322</v>
      </c>
      <c r="F70" s="18" t="s">
        <v>61</v>
      </c>
      <c r="G70" s="19">
        <v>4</v>
      </c>
      <c r="H70" s="19">
        <v>35</v>
      </c>
      <c r="I70" s="19">
        <v>44.06</v>
      </c>
      <c r="J70" s="19">
        <v>74</v>
      </c>
      <c r="K70" s="19">
        <v>4</v>
      </c>
      <c r="L70" s="19">
        <v>8.01</v>
      </c>
      <c r="M70" s="5">
        <f t="shared" si="5"/>
        <v>4.5955722222222217</v>
      </c>
      <c r="N70" s="5">
        <f t="shared" si="6"/>
        <v>74.068891666666659</v>
      </c>
      <c r="O70" s="18" t="str">
        <f t="shared" si="7"/>
        <v>4°35′44.06″N 74°4′8.01″W</v>
      </c>
    </row>
    <row r="71" spans="2:15" ht="15.75" x14ac:dyDescent="0.25">
      <c r="B71" s="22">
        <v>69</v>
      </c>
      <c r="C71" s="19" t="s">
        <v>286</v>
      </c>
      <c r="D71" s="18" t="s">
        <v>9</v>
      </c>
      <c r="E71" s="23" t="s">
        <v>342</v>
      </c>
      <c r="F71" s="18" t="s">
        <v>60</v>
      </c>
      <c r="G71" s="19">
        <v>4</v>
      </c>
      <c r="H71" s="19">
        <v>34</v>
      </c>
      <c r="I71" s="19">
        <v>46.07</v>
      </c>
      <c r="J71" s="19">
        <v>74</v>
      </c>
      <c r="K71" s="19">
        <v>6</v>
      </c>
      <c r="L71" s="19">
        <v>2.69</v>
      </c>
      <c r="M71" s="5">
        <f t="shared" si="5"/>
        <v>4.5794638888888883</v>
      </c>
      <c r="N71" s="5">
        <f t="shared" si="6"/>
        <v>74.100747222222211</v>
      </c>
      <c r="O71" s="18" t="str">
        <f t="shared" si="7"/>
        <v>4°34′46.07″N 74°6′2.69″W</v>
      </c>
    </row>
    <row r="72" spans="2:15" ht="15.75" x14ac:dyDescent="0.25">
      <c r="B72" s="22">
        <v>70</v>
      </c>
      <c r="C72" s="19" t="s">
        <v>288</v>
      </c>
      <c r="D72" s="18" t="s">
        <v>9</v>
      </c>
      <c r="E72" s="23" t="s">
        <v>343</v>
      </c>
      <c r="F72" s="18" t="s">
        <v>60</v>
      </c>
      <c r="G72" s="19">
        <v>4</v>
      </c>
      <c r="H72" s="19">
        <v>34</v>
      </c>
      <c r="I72" s="19">
        <v>8.3699999999999992</v>
      </c>
      <c r="J72" s="19">
        <v>74</v>
      </c>
      <c r="K72" s="19">
        <v>7</v>
      </c>
      <c r="L72" s="19">
        <v>30.81</v>
      </c>
      <c r="M72" s="5">
        <f t="shared" si="5"/>
        <v>4.5689916666666663</v>
      </c>
      <c r="N72" s="5">
        <f t="shared" si="6"/>
        <v>74.125225</v>
      </c>
      <c r="O72" s="18" t="str">
        <f t="shared" si="7"/>
        <v>4°34′8.37″N 74°7′30.81″W</v>
      </c>
    </row>
    <row r="73" spans="2:15" ht="15.75" x14ac:dyDescent="0.25">
      <c r="B73" s="22">
        <v>71</v>
      </c>
      <c r="C73" s="19" t="s">
        <v>289</v>
      </c>
      <c r="D73" s="18" t="s">
        <v>9</v>
      </c>
      <c r="E73" s="23" t="s">
        <v>345</v>
      </c>
      <c r="F73" s="18" t="s">
        <v>60</v>
      </c>
      <c r="G73" s="19">
        <v>4</v>
      </c>
      <c r="H73" s="19">
        <v>35</v>
      </c>
      <c r="I73" s="19">
        <v>21.37</v>
      </c>
      <c r="J73" s="19">
        <v>74</v>
      </c>
      <c r="K73" s="19">
        <v>7</v>
      </c>
      <c r="L73" s="19">
        <v>32.11</v>
      </c>
      <c r="M73" s="5">
        <f t="shared" si="5"/>
        <v>4.5892694444444437</v>
      </c>
      <c r="N73" s="5">
        <f t="shared" si="6"/>
        <v>74.125586111111105</v>
      </c>
      <c r="O73" s="18" t="str">
        <f t="shared" si="7"/>
        <v>4°35′21.37″N 74°7′32.11″W</v>
      </c>
    </row>
    <row r="74" spans="2:15" ht="15.75" x14ac:dyDescent="0.25">
      <c r="B74" s="22">
        <v>72</v>
      </c>
      <c r="C74" s="19" t="s">
        <v>287</v>
      </c>
      <c r="D74" s="18" t="s">
        <v>9</v>
      </c>
      <c r="E74" s="23" t="s">
        <v>344</v>
      </c>
      <c r="F74" s="18" t="s">
        <v>60</v>
      </c>
      <c r="G74" s="19">
        <v>4</v>
      </c>
      <c r="H74" s="19">
        <v>33</v>
      </c>
      <c r="I74" s="19">
        <v>12.95</v>
      </c>
      <c r="J74" s="19">
        <v>74</v>
      </c>
      <c r="K74" s="19">
        <v>6</v>
      </c>
      <c r="L74" s="19">
        <v>31.11</v>
      </c>
      <c r="M74" s="5">
        <f t="shared" si="5"/>
        <v>4.5535972222222219</v>
      </c>
      <c r="N74" s="5">
        <f t="shared" si="6"/>
        <v>74.108641666666657</v>
      </c>
      <c r="O74" s="18" t="str">
        <f t="shared" si="7"/>
        <v>4°33′12.95″N 74°6′31.11″W</v>
      </c>
    </row>
    <row r="75" spans="2:15" ht="15.75" x14ac:dyDescent="0.25">
      <c r="B75" s="22">
        <v>73</v>
      </c>
      <c r="C75" s="19" t="s">
        <v>286</v>
      </c>
      <c r="D75" s="18" t="s">
        <v>10</v>
      </c>
      <c r="E75" s="23" t="s">
        <v>346</v>
      </c>
      <c r="F75" s="18" t="s">
        <v>60</v>
      </c>
      <c r="G75" s="19">
        <v>4</v>
      </c>
      <c r="H75" s="19">
        <v>33</v>
      </c>
      <c r="I75" s="19">
        <v>58.96</v>
      </c>
      <c r="J75" s="19">
        <v>74</v>
      </c>
      <c r="K75" s="19">
        <v>8</v>
      </c>
      <c r="L75" s="19">
        <v>36.700000000000003</v>
      </c>
      <c r="M75" s="5">
        <f t="shared" si="5"/>
        <v>4.5663777777777774</v>
      </c>
      <c r="N75" s="5">
        <f t="shared" si="6"/>
        <v>74.143527777777791</v>
      </c>
      <c r="O75" s="18" t="str">
        <f t="shared" si="7"/>
        <v>4°33′58.96″N 74°8′36.7″W</v>
      </c>
    </row>
    <row r="76" spans="2:15" ht="15.75" x14ac:dyDescent="0.25">
      <c r="B76" s="22">
        <v>74</v>
      </c>
      <c r="C76" s="19" t="s">
        <v>288</v>
      </c>
      <c r="D76" s="18" t="s">
        <v>10</v>
      </c>
      <c r="E76" s="23" t="s">
        <v>347</v>
      </c>
      <c r="F76" s="18" t="s">
        <v>60</v>
      </c>
      <c r="G76" s="19">
        <v>4</v>
      </c>
      <c r="H76" s="19">
        <v>32</v>
      </c>
      <c r="I76" s="19">
        <v>38.69</v>
      </c>
      <c r="J76" s="19">
        <v>74</v>
      </c>
      <c r="K76" s="19">
        <v>10</v>
      </c>
      <c r="L76" s="19">
        <v>9.08</v>
      </c>
      <c r="M76" s="5">
        <f t="shared" si="5"/>
        <v>4.5440805555555555</v>
      </c>
      <c r="N76" s="5">
        <f t="shared" si="6"/>
        <v>74.169188888888897</v>
      </c>
      <c r="O76" s="18" t="str">
        <f t="shared" si="7"/>
        <v>4°32′38.69″N 74°10′9.08″W</v>
      </c>
    </row>
    <row r="77" spans="2:15" ht="15.75" x14ac:dyDescent="0.25">
      <c r="B77" s="22">
        <v>75</v>
      </c>
      <c r="C77" s="19" t="s">
        <v>289</v>
      </c>
      <c r="D77" s="18" t="s">
        <v>10</v>
      </c>
      <c r="E77" s="23" t="s">
        <v>369</v>
      </c>
      <c r="F77" s="18" t="s">
        <v>60</v>
      </c>
      <c r="G77" s="19">
        <v>4</v>
      </c>
      <c r="H77" s="19">
        <v>35</v>
      </c>
      <c r="I77" s="19">
        <v>44.04</v>
      </c>
      <c r="J77" s="19">
        <v>74</v>
      </c>
      <c r="K77" s="19">
        <v>10</v>
      </c>
      <c r="L77" s="19">
        <v>23.34</v>
      </c>
      <c r="M77" s="5">
        <f t="shared" si="5"/>
        <v>4.5955666666666666</v>
      </c>
      <c r="N77" s="5">
        <f t="shared" si="6"/>
        <v>74.173150000000007</v>
      </c>
      <c r="O77" s="18" t="str">
        <f t="shared" si="7"/>
        <v>4°35′44.04″N 74°10′23.34″W</v>
      </c>
    </row>
    <row r="78" spans="2:15" ht="15.75" x14ac:dyDescent="0.25">
      <c r="B78" s="22">
        <v>76</v>
      </c>
      <c r="C78" s="19" t="s">
        <v>287</v>
      </c>
      <c r="D78" s="18" t="s">
        <v>10</v>
      </c>
      <c r="E78" s="23" t="s">
        <v>348</v>
      </c>
      <c r="F78" s="18" t="s">
        <v>60</v>
      </c>
      <c r="G78" s="19">
        <v>4</v>
      </c>
      <c r="H78" s="19">
        <v>31</v>
      </c>
      <c r="I78" s="19">
        <v>58.3</v>
      </c>
      <c r="J78" s="19">
        <v>74</v>
      </c>
      <c r="K78" s="19">
        <v>9</v>
      </c>
      <c r="L78" s="19">
        <v>7.97</v>
      </c>
      <c r="M78" s="5">
        <f t="shared" si="5"/>
        <v>4.532861111111111</v>
      </c>
      <c r="N78" s="5">
        <f t="shared" si="6"/>
        <v>74.152213888888895</v>
      </c>
      <c r="O78" s="18" t="str">
        <f t="shared" si="7"/>
        <v>4°31′58.3″N 74°9′7.97″W</v>
      </c>
    </row>
    <row r="79" spans="2:15" ht="15.75" x14ac:dyDescent="0.25">
      <c r="B79" s="22">
        <v>77</v>
      </c>
      <c r="C79" s="19" t="s">
        <v>286</v>
      </c>
      <c r="D79" s="18" t="s">
        <v>11</v>
      </c>
      <c r="E79" s="23" t="s">
        <v>350</v>
      </c>
      <c r="F79" s="18" t="s">
        <v>60</v>
      </c>
      <c r="G79" s="19">
        <v>4</v>
      </c>
      <c r="H79" s="19">
        <v>28</v>
      </c>
      <c r="I79" s="19">
        <v>57.95</v>
      </c>
      <c r="J79" s="19">
        <v>74</v>
      </c>
      <c r="K79" s="19">
        <v>7</v>
      </c>
      <c r="L79" s="19">
        <v>15.78</v>
      </c>
      <c r="M79" s="5">
        <f t="shared" si="5"/>
        <v>4.482763888888889</v>
      </c>
      <c r="N79" s="5">
        <f t="shared" si="6"/>
        <v>74.121049999999997</v>
      </c>
      <c r="O79" s="18" t="str">
        <f t="shared" si="7"/>
        <v>4°28′57.95″N 74°7′15.78″W</v>
      </c>
    </row>
    <row r="80" spans="2:15" ht="15.75" x14ac:dyDescent="0.25">
      <c r="B80" s="22">
        <v>78</v>
      </c>
      <c r="C80" s="19" t="s">
        <v>288</v>
      </c>
      <c r="D80" s="18" t="s">
        <v>11</v>
      </c>
      <c r="E80" s="23" t="s">
        <v>349</v>
      </c>
      <c r="F80" s="18" t="s">
        <v>60</v>
      </c>
      <c r="G80" s="19">
        <v>4</v>
      </c>
      <c r="H80" s="19">
        <v>1</v>
      </c>
      <c r="I80" s="19">
        <v>45.06</v>
      </c>
      <c r="J80" s="19">
        <v>74</v>
      </c>
      <c r="K80" s="19">
        <v>18</v>
      </c>
      <c r="L80" s="19">
        <v>54.74</v>
      </c>
      <c r="M80" s="5">
        <f t="shared" si="5"/>
        <v>4.0291833333333331</v>
      </c>
      <c r="N80" s="5">
        <f t="shared" si="6"/>
        <v>74.315205555555551</v>
      </c>
      <c r="O80" s="18" t="str">
        <f t="shared" si="7"/>
        <v>4°1′45.06″N 74°18′54.74″W</v>
      </c>
    </row>
    <row r="81" spans="1:27" ht="15.75" x14ac:dyDescent="0.25">
      <c r="B81" s="22">
        <v>79</v>
      </c>
      <c r="C81" s="19" t="s">
        <v>289</v>
      </c>
      <c r="D81" s="18" t="s">
        <v>11</v>
      </c>
      <c r="E81" s="23" t="s">
        <v>351</v>
      </c>
      <c r="F81" s="18" t="s">
        <v>60</v>
      </c>
      <c r="G81" s="19">
        <v>4</v>
      </c>
      <c r="H81" s="19">
        <v>23</v>
      </c>
      <c r="I81" s="19">
        <v>32</v>
      </c>
      <c r="J81" s="19">
        <v>74</v>
      </c>
      <c r="K81" s="19">
        <v>10</v>
      </c>
      <c r="L81" s="19">
        <v>34.53</v>
      </c>
      <c r="M81" s="5">
        <f t="shared" si="5"/>
        <v>4.3922222222222222</v>
      </c>
      <c r="N81" s="5">
        <f t="shared" si="6"/>
        <v>74.176258333333337</v>
      </c>
      <c r="O81" s="18" t="str">
        <f t="shared" si="7"/>
        <v>4°23′32″N 74°10′34.53″W</v>
      </c>
    </row>
    <row r="82" spans="1:27" ht="15.75" x14ac:dyDescent="0.25">
      <c r="B82" s="22">
        <v>80</v>
      </c>
      <c r="C82" s="19" t="s">
        <v>287</v>
      </c>
      <c r="D82" s="18" t="s">
        <v>11</v>
      </c>
      <c r="E82" s="23" t="s">
        <v>352</v>
      </c>
      <c r="F82" s="18" t="s">
        <v>60</v>
      </c>
      <c r="G82" s="19">
        <v>4</v>
      </c>
      <c r="H82" s="19">
        <v>23</v>
      </c>
      <c r="I82" s="19">
        <v>8.7200000000000006</v>
      </c>
      <c r="J82" s="19">
        <v>74</v>
      </c>
      <c r="K82" s="19">
        <v>8</v>
      </c>
      <c r="L82" s="19">
        <v>17.739999999999998</v>
      </c>
      <c r="M82" s="5">
        <f t="shared" si="5"/>
        <v>4.3857555555555559</v>
      </c>
      <c r="N82" s="5">
        <f t="shared" si="6"/>
        <v>74.13826111111112</v>
      </c>
      <c r="O82" s="18" t="str">
        <f t="shared" si="7"/>
        <v>4°23′8.72″N 74°8′17.74″W</v>
      </c>
    </row>
    <row r="84" spans="1:27" x14ac:dyDescent="0.25">
      <c r="E84" s="59"/>
    </row>
    <row r="88" spans="1:27" ht="30" x14ac:dyDescent="0.25">
      <c r="A88">
        <v>1</v>
      </c>
      <c r="B88" s="17" t="s">
        <v>290</v>
      </c>
      <c r="C88" s="17" t="s">
        <v>285</v>
      </c>
      <c r="D88" s="17" t="s">
        <v>74</v>
      </c>
      <c r="E88" s="17" t="s">
        <v>63</v>
      </c>
      <c r="F88" s="17" t="s">
        <v>64</v>
      </c>
      <c r="G88" s="2" t="s">
        <v>266</v>
      </c>
      <c r="H88" s="2" t="s">
        <v>267</v>
      </c>
      <c r="I88" s="2" t="s">
        <v>282</v>
      </c>
      <c r="J88" s="2" t="s">
        <v>268</v>
      </c>
    </row>
    <row r="89" spans="1:27" ht="15.75" x14ac:dyDescent="0.25">
      <c r="B89" s="22">
        <v>1</v>
      </c>
      <c r="C89" s="19" t="s">
        <v>286</v>
      </c>
      <c r="D89" s="18" t="s">
        <v>12</v>
      </c>
      <c r="E89" s="23" t="s">
        <v>291</v>
      </c>
      <c r="F89" s="18" t="s">
        <v>215</v>
      </c>
      <c r="G89" s="5">
        <v>4.8193416666666664</v>
      </c>
      <c r="H89" s="5">
        <v>74.034613888888885</v>
      </c>
      <c r="I89" s="8">
        <v>16393</v>
      </c>
      <c r="J89" s="7">
        <f>SQRT(($G$94-G89)^2+($H$94-H89)^2)</f>
        <v>7.7945268622642866E-2</v>
      </c>
    </row>
    <row r="90" spans="1:27" ht="15.75" x14ac:dyDescent="0.25">
      <c r="B90" s="22">
        <v>2</v>
      </c>
      <c r="C90" s="19" t="s">
        <v>288</v>
      </c>
      <c r="D90" s="18" t="s">
        <v>12</v>
      </c>
      <c r="E90" s="23" t="s">
        <v>292</v>
      </c>
      <c r="F90" s="18" t="s">
        <v>215</v>
      </c>
      <c r="G90" s="5">
        <v>4.6650444444444448</v>
      </c>
      <c r="H90" s="5">
        <v>74.011058333333338</v>
      </c>
      <c r="I90" s="8">
        <v>16393</v>
      </c>
      <c r="J90" s="7">
        <f>SQRT(($G$94-G90)^2+($H$94-H90)^2)</f>
        <v>7.8452874981002965E-2</v>
      </c>
    </row>
    <row r="91" spans="1:27" ht="15.75" x14ac:dyDescent="0.25">
      <c r="B91" s="22">
        <v>3</v>
      </c>
      <c r="C91" s="19" t="s">
        <v>289</v>
      </c>
      <c r="D91" s="18" t="s">
        <v>12</v>
      </c>
      <c r="E91" s="23" t="s">
        <v>294</v>
      </c>
      <c r="F91" s="18" t="s">
        <v>215</v>
      </c>
      <c r="G91" s="5">
        <v>4.7496277777777776</v>
      </c>
      <c r="H91" s="5">
        <v>74.04613611111111</v>
      </c>
      <c r="I91" s="8">
        <v>16393</v>
      </c>
      <c r="J91" s="7">
        <f>SQRT(($G$94-G91)^2+($H$94-H91)^2)</f>
        <v>2.0009890807586708E-2</v>
      </c>
    </row>
    <row r="92" spans="1:27" ht="15.75" x14ac:dyDescent="0.25">
      <c r="B92" s="22">
        <v>4</v>
      </c>
      <c r="C92" s="19" t="s">
        <v>287</v>
      </c>
      <c r="D92" s="18" t="s">
        <v>12</v>
      </c>
      <c r="E92" s="23" t="s">
        <v>293</v>
      </c>
      <c r="F92" s="18" t="s">
        <v>215</v>
      </c>
      <c r="G92" s="5">
        <v>4.7327777777777778</v>
      </c>
      <c r="H92" s="5">
        <v>74.01925</v>
      </c>
      <c r="I92" s="8">
        <v>16393</v>
      </c>
      <c r="J92" s="7">
        <f>SQRT(($G$94-G92)^2+($H$94-H92)^2)</f>
        <v>1.2331545204765036E-2</v>
      </c>
      <c r="Q92" s="48" t="s">
        <v>74</v>
      </c>
      <c r="R92" s="47" t="s">
        <v>385</v>
      </c>
      <c r="S92" s="1" t="s">
        <v>248</v>
      </c>
      <c r="T92" s="1" t="s">
        <v>249</v>
      </c>
      <c r="U92" s="49" t="s">
        <v>248</v>
      </c>
      <c r="V92" s="50"/>
      <c r="W92" s="51"/>
      <c r="X92" s="49" t="s">
        <v>249</v>
      </c>
      <c r="Y92" s="50"/>
      <c r="Z92" s="51"/>
      <c r="AA92" s="48" t="s">
        <v>388</v>
      </c>
    </row>
    <row r="93" spans="1:27" ht="15.75" x14ac:dyDescent="0.25">
      <c r="G93">
        <f>SUMPRODUCT(G89:G92,I89:I92)</f>
        <v>310922.61579166667</v>
      </c>
      <c r="H93">
        <f>SUMPRODUCT(H89:H92,I89:I92)</f>
        <v>4854148.579258333</v>
      </c>
      <c r="I93" s="10">
        <f>SUM(I89:I92)</f>
        <v>65572</v>
      </c>
      <c r="Q93" s="48"/>
      <c r="R93" s="47"/>
      <c r="S93" s="1" t="s">
        <v>253</v>
      </c>
      <c r="T93" s="1" t="s">
        <v>253</v>
      </c>
      <c r="U93" s="2" t="s">
        <v>250</v>
      </c>
      <c r="V93" s="2" t="s">
        <v>251</v>
      </c>
      <c r="W93" s="2" t="s">
        <v>252</v>
      </c>
      <c r="X93" s="2" t="s">
        <v>250</v>
      </c>
      <c r="Y93" s="2" t="s">
        <v>251</v>
      </c>
      <c r="Z93" s="2" t="s">
        <v>252</v>
      </c>
      <c r="AA93" s="48"/>
    </row>
    <row r="94" spans="1:27" x14ac:dyDescent="0.25">
      <c r="F94" s="11" t="s">
        <v>271</v>
      </c>
      <c r="G94" s="12">
        <f>G93/I93</f>
        <v>4.7416979166666664</v>
      </c>
      <c r="H94" s="12">
        <f>H93/I93</f>
        <v>74.027764583333322</v>
      </c>
      <c r="I94" s="44" t="s">
        <v>272</v>
      </c>
      <c r="J94" s="44"/>
      <c r="K94" s="20" t="s">
        <v>267</v>
      </c>
      <c r="L94" s="45" t="s">
        <v>276</v>
      </c>
      <c r="M94" s="46"/>
      <c r="P94" s="27"/>
      <c r="Q94" s="18" t="s">
        <v>12</v>
      </c>
      <c r="R94" s="11" t="s">
        <v>271</v>
      </c>
      <c r="S94" s="12">
        <v>4.7416979166666664</v>
      </c>
      <c r="T94" s="12">
        <v>74.027764583333322</v>
      </c>
      <c r="U94" s="41">
        <f>INT(S94)</f>
        <v>4</v>
      </c>
      <c r="V94" s="19">
        <f>INT((S94-U94)*60)</f>
        <v>44</v>
      </c>
      <c r="W94" s="19">
        <f>ROUND(((S94-U94)*60-V94)*60, 2)</f>
        <v>30.11</v>
      </c>
      <c r="X94" s="41">
        <f>INT(T94)</f>
        <v>74</v>
      </c>
      <c r="Y94" s="19">
        <f>INT((T94-X94)*60)</f>
        <v>1</v>
      </c>
      <c r="Z94" s="19">
        <f>ROUND(((T94-X94)*60-Y94)*60, 2)</f>
        <v>39.950000000000003</v>
      </c>
      <c r="AA94" s="18" t="str">
        <f>U94&amp;"°"&amp;V94&amp;"′"&amp;SUBSTITUTE(W94,",",".")&amp;"″"&amp;"N "&amp;X94&amp;"°"&amp;Y94&amp;"′"&amp;SUBSTITUTE(Z94,",",".")&amp;"″"&amp;"W"</f>
        <v>4°44′30.11″N 74°1′39.95″W</v>
      </c>
    </row>
    <row r="95" spans="1:27" ht="15.75" x14ac:dyDescent="0.25">
      <c r="G95" s="14" t="s">
        <v>273</v>
      </c>
      <c r="H95" s="14" t="s">
        <v>274</v>
      </c>
      <c r="L95" s="7" t="s">
        <v>275</v>
      </c>
      <c r="M95" s="8">
        <f>SUMPRODUCT(I89:I92,J89:J92)</f>
        <v>3094.0079286450482</v>
      </c>
      <c r="P95" s="27"/>
      <c r="Q95" s="18" t="s">
        <v>13</v>
      </c>
      <c r="R95" s="11" t="s">
        <v>277</v>
      </c>
      <c r="S95" s="12">
        <v>4.6584895833333322</v>
      </c>
      <c r="T95" s="12">
        <v>74.052911111111115</v>
      </c>
      <c r="U95" s="41">
        <f t="shared" ref="U95:U113" si="8">INT(S95)</f>
        <v>4</v>
      </c>
      <c r="V95" s="19">
        <f t="shared" ref="V95:V113" si="9">INT((S95-U95)*60)</f>
        <v>39</v>
      </c>
      <c r="W95" s="19">
        <f t="shared" ref="W95:W113" si="10">ROUND(((S95-U95)*60-V95)*60, 2)</f>
        <v>30.56</v>
      </c>
      <c r="X95" s="41">
        <f t="shared" ref="X95:X113" si="11">INT(T95)</f>
        <v>74</v>
      </c>
      <c r="Y95" s="19">
        <f t="shared" ref="Y95:Y113" si="12">INT((T95-X95)*60)</f>
        <v>3</v>
      </c>
      <c r="Z95" s="19">
        <f t="shared" ref="Z95:Z113" si="13">ROUND(((T95-X95)*60-Y95)*60, 2)</f>
        <v>10.48</v>
      </c>
      <c r="AA95" s="18" t="str">
        <f t="shared" ref="AA95:AA113" si="14">U95&amp;"°"&amp;V95&amp;"′"&amp;SUBSTITUTE(W95,",",".")&amp;"″"&amp;"N "&amp;X95&amp;"°"&amp;Y95&amp;"′"&amp;SUBSTITUTE(Z95,",",".")&amp;"″"&amp;"W"</f>
        <v>4°39′30.56″N 74°3′10.48″W</v>
      </c>
    </row>
    <row r="96" spans="1:27" x14ac:dyDescent="0.25">
      <c r="P96" s="27"/>
      <c r="Q96" s="18" t="s">
        <v>14</v>
      </c>
      <c r="R96" s="11" t="s">
        <v>278</v>
      </c>
      <c r="S96" s="12">
        <v>4.599261805555555</v>
      </c>
      <c r="T96" s="12">
        <v>74.072181944444438</v>
      </c>
      <c r="U96" s="41">
        <f t="shared" si="8"/>
        <v>4</v>
      </c>
      <c r="V96" s="19">
        <f t="shared" si="9"/>
        <v>35</v>
      </c>
      <c r="W96" s="19">
        <f t="shared" si="10"/>
        <v>57.34</v>
      </c>
      <c r="X96" s="41">
        <f t="shared" si="11"/>
        <v>74</v>
      </c>
      <c r="Y96" s="19">
        <f t="shared" si="12"/>
        <v>4</v>
      </c>
      <c r="Z96" s="19">
        <f t="shared" si="13"/>
        <v>19.850000000000001</v>
      </c>
      <c r="AA96" s="18" t="str">
        <f t="shared" si="14"/>
        <v>4°35′57.34″N 74°4′19.85″W</v>
      </c>
    </row>
    <row r="97" spans="1:27" x14ac:dyDescent="0.25">
      <c r="P97" s="27"/>
      <c r="Q97" s="18" t="s">
        <v>15</v>
      </c>
      <c r="R97" s="11" t="s">
        <v>371</v>
      </c>
      <c r="S97" s="12">
        <v>4.5556861111111111</v>
      </c>
      <c r="T97" s="12">
        <v>74.087203472222214</v>
      </c>
      <c r="U97" s="41">
        <f t="shared" si="8"/>
        <v>4</v>
      </c>
      <c r="V97" s="19">
        <f t="shared" si="9"/>
        <v>33</v>
      </c>
      <c r="W97" s="19">
        <f t="shared" si="10"/>
        <v>20.47</v>
      </c>
      <c r="X97" s="41">
        <f t="shared" si="11"/>
        <v>74</v>
      </c>
      <c r="Y97" s="19">
        <f t="shared" si="12"/>
        <v>5</v>
      </c>
      <c r="Z97" s="19">
        <f t="shared" si="13"/>
        <v>13.93</v>
      </c>
      <c r="AA97" s="18" t="str">
        <f t="shared" si="14"/>
        <v>4°33′20.47″N 74°5′13.93″W</v>
      </c>
    </row>
    <row r="98" spans="1:27" ht="30" x14ac:dyDescent="0.25">
      <c r="A98">
        <v>2</v>
      </c>
      <c r="B98" s="17" t="s">
        <v>290</v>
      </c>
      <c r="C98" s="17" t="s">
        <v>285</v>
      </c>
      <c r="D98" s="17" t="s">
        <v>74</v>
      </c>
      <c r="E98" s="17" t="s">
        <v>63</v>
      </c>
      <c r="F98" s="17" t="s">
        <v>64</v>
      </c>
      <c r="G98" s="2" t="s">
        <v>266</v>
      </c>
      <c r="H98" s="2" t="s">
        <v>267</v>
      </c>
      <c r="I98" s="2" t="s">
        <v>282</v>
      </c>
      <c r="J98" s="2" t="s">
        <v>268</v>
      </c>
      <c r="N98" s="43"/>
      <c r="O98" s="43"/>
      <c r="P98" s="27"/>
      <c r="Q98" s="18" t="s">
        <v>16</v>
      </c>
      <c r="R98" s="11" t="s">
        <v>279</v>
      </c>
      <c r="S98" s="12">
        <v>4.5016361111111109</v>
      </c>
      <c r="T98" s="12">
        <v>74.105588888888889</v>
      </c>
      <c r="U98" s="41">
        <f t="shared" si="8"/>
        <v>4</v>
      </c>
      <c r="V98" s="19">
        <f t="shared" si="9"/>
        <v>30</v>
      </c>
      <c r="W98" s="19">
        <f t="shared" si="10"/>
        <v>5.89</v>
      </c>
      <c r="X98" s="41">
        <f t="shared" si="11"/>
        <v>74</v>
      </c>
      <c r="Y98" s="19">
        <f t="shared" si="12"/>
        <v>6</v>
      </c>
      <c r="Z98" s="19">
        <f t="shared" si="13"/>
        <v>20.12</v>
      </c>
      <c r="AA98" s="18" t="str">
        <f>U98&amp;"°"&amp;V98&amp;"′"&amp;SUBSTITUTE(W98,",",".")&amp;"″"&amp;"N "&amp;X98&amp;"°"&amp;Y98&amp;"′"&amp;SUBSTITUTE(Z98,",",".")&amp;"″"&amp;"W"</f>
        <v>4°30′5.89″N 74°6′20.12″W</v>
      </c>
    </row>
    <row r="99" spans="1:27" ht="15.75" x14ac:dyDescent="0.25">
      <c r="B99" s="22">
        <v>1</v>
      </c>
      <c r="C99" s="19" t="s">
        <v>286</v>
      </c>
      <c r="D99" t="s">
        <v>13</v>
      </c>
      <c r="E99" s="21" t="s">
        <v>295</v>
      </c>
      <c r="F99" t="s">
        <v>215</v>
      </c>
      <c r="G99" s="5">
        <v>4.6844250000000001</v>
      </c>
      <c r="H99" s="5">
        <v>74.04924166666666</v>
      </c>
      <c r="I99" s="8">
        <v>16393</v>
      </c>
      <c r="J99" s="7">
        <f>SQRT(($G$104-G99)^2+($H$104-H99)^2)</f>
        <v>2.6193714135353447E-2</v>
      </c>
      <c r="P99" s="27"/>
      <c r="Q99" s="18" t="s">
        <v>0</v>
      </c>
      <c r="R99" s="11" t="s">
        <v>372</v>
      </c>
      <c r="S99" s="12">
        <v>4.5794868055555549</v>
      </c>
      <c r="T99" s="12">
        <v>74.137391666666659</v>
      </c>
      <c r="U99" s="41">
        <f t="shared" si="8"/>
        <v>4</v>
      </c>
      <c r="V99" s="19">
        <f t="shared" si="9"/>
        <v>34</v>
      </c>
      <c r="W99" s="19">
        <f t="shared" si="10"/>
        <v>46.15</v>
      </c>
      <c r="X99" s="41">
        <f t="shared" si="11"/>
        <v>74</v>
      </c>
      <c r="Y99" s="19">
        <f t="shared" si="12"/>
        <v>8</v>
      </c>
      <c r="Z99" s="19">
        <f t="shared" si="13"/>
        <v>14.61</v>
      </c>
      <c r="AA99" s="18" t="str">
        <f t="shared" si="14"/>
        <v>4°34′46.15″N 74°8′14.61″W</v>
      </c>
    </row>
    <row r="100" spans="1:27" ht="15.75" x14ac:dyDescent="0.25">
      <c r="B100" s="22">
        <v>2</v>
      </c>
      <c r="C100" s="19" t="s">
        <v>288</v>
      </c>
      <c r="D100" t="s">
        <v>13</v>
      </c>
      <c r="E100" s="21" t="s">
        <v>296</v>
      </c>
      <c r="F100" t="s">
        <v>215</v>
      </c>
      <c r="G100" s="5">
        <v>4.6333666666666664</v>
      </c>
      <c r="H100" s="5">
        <v>74.05857499999999</v>
      </c>
      <c r="I100" s="8">
        <v>16393</v>
      </c>
      <c r="J100" s="7">
        <f>SQRT(($G$104-G100)^2+($H$104-H100)^2)</f>
        <v>2.5753457616129165E-2</v>
      </c>
      <c r="P100" s="27"/>
      <c r="Q100" s="18" t="s">
        <v>1</v>
      </c>
      <c r="R100" s="11" t="s">
        <v>280</v>
      </c>
      <c r="S100" s="12">
        <v>4.6202569444444448</v>
      </c>
      <c r="T100" s="12">
        <v>74.191923611111122</v>
      </c>
      <c r="U100" s="41">
        <f t="shared" si="8"/>
        <v>4</v>
      </c>
      <c r="V100" s="19">
        <f t="shared" si="9"/>
        <v>37</v>
      </c>
      <c r="W100" s="19">
        <f t="shared" si="10"/>
        <v>12.93</v>
      </c>
      <c r="X100" s="41">
        <f t="shared" si="11"/>
        <v>74</v>
      </c>
      <c r="Y100" s="19">
        <f t="shared" si="12"/>
        <v>11</v>
      </c>
      <c r="Z100" s="19">
        <f t="shared" si="13"/>
        <v>30.93</v>
      </c>
      <c r="AA100" s="18" t="str">
        <f t="shared" si="14"/>
        <v>4°37′12.93″N 74°11′30.93″W</v>
      </c>
    </row>
    <row r="101" spans="1:27" ht="15.75" x14ac:dyDescent="0.25">
      <c r="B101" s="22">
        <v>3</v>
      </c>
      <c r="C101" s="19" t="s">
        <v>289</v>
      </c>
      <c r="D101" t="s">
        <v>13</v>
      </c>
      <c r="E101" s="21" t="s">
        <v>297</v>
      </c>
      <c r="F101" t="s">
        <v>215</v>
      </c>
      <c r="G101" s="5">
        <v>4.6606305555555556</v>
      </c>
      <c r="H101" s="5">
        <v>74.057299999999998</v>
      </c>
      <c r="I101" s="8">
        <v>16393</v>
      </c>
      <c r="J101" s="7">
        <f>SQRT(($G$104-G101)^2+($H$104-H101)^2)</f>
        <v>4.8832476627028642E-3</v>
      </c>
      <c r="P101" s="27"/>
      <c r="Q101" s="18" t="s">
        <v>17</v>
      </c>
      <c r="R101" s="11" t="s">
        <v>373</v>
      </c>
      <c r="S101" s="12">
        <v>4.6277986111111105</v>
      </c>
      <c r="T101" s="12">
        <v>74.152242361111121</v>
      </c>
      <c r="U101" s="41">
        <f t="shared" si="8"/>
        <v>4</v>
      </c>
      <c r="V101" s="19">
        <f t="shared" si="9"/>
        <v>37</v>
      </c>
      <c r="W101" s="19">
        <f t="shared" si="10"/>
        <v>40.07</v>
      </c>
      <c r="X101" s="41">
        <f t="shared" si="11"/>
        <v>74</v>
      </c>
      <c r="Y101" s="19">
        <f t="shared" si="12"/>
        <v>9</v>
      </c>
      <c r="Z101" s="19">
        <f t="shared" si="13"/>
        <v>8.07</v>
      </c>
      <c r="AA101" s="18" t="str">
        <f t="shared" si="14"/>
        <v>4°37′40.07″N 74°9′8.07″W</v>
      </c>
    </row>
    <row r="102" spans="1:27" ht="15.75" x14ac:dyDescent="0.25">
      <c r="B102" s="22">
        <v>4</v>
      </c>
      <c r="C102" s="19" t="s">
        <v>287</v>
      </c>
      <c r="D102" t="s">
        <v>13</v>
      </c>
      <c r="E102" s="21" t="s">
        <v>298</v>
      </c>
      <c r="F102" t="s">
        <v>215</v>
      </c>
      <c r="G102" s="5">
        <v>4.6555361111111111</v>
      </c>
      <c r="H102" s="5">
        <v>74.046527777777783</v>
      </c>
      <c r="I102" s="8">
        <v>16393</v>
      </c>
      <c r="J102" s="7">
        <f>SQRT(($G$104-G102)^2+($H$104-H102)^2)</f>
        <v>7.0334872298071288E-3</v>
      </c>
      <c r="P102" s="27"/>
      <c r="Q102" s="18" t="s">
        <v>18</v>
      </c>
      <c r="R102" s="11" t="s">
        <v>374</v>
      </c>
      <c r="S102" s="12">
        <v>4.6724854166666674</v>
      </c>
      <c r="T102" s="12">
        <v>74.137523611111121</v>
      </c>
      <c r="U102" s="41">
        <f t="shared" si="8"/>
        <v>4</v>
      </c>
      <c r="V102" s="19">
        <f t="shared" si="9"/>
        <v>40</v>
      </c>
      <c r="W102" s="19">
        <f t="shared" si="10"/>
        <v>20.95</v>
      </c>
      <c r="X102" s="41">
        <f t="shared" si="11"/>
        <v>74</v>
      </c>
      <c r="Y102" s="19">
        <f t="shared" si="12"/>
        <v>8</v>
      </c>
      <c r="Z102" s="19">
        <f t="shared" si="13"/>
        <v>15.09</v>
      </c>
      <c r="AA102" s="18" t="str">
        <f t="shared" si="14"/>
        <v>4°40′20.95″N 74°8′15.09″W</v>
      </c>
    </row>
    <row r="103" spans="1:27" x14ac:dyDescent="0.25">
      <c r="G103">
        <f>SUMPRODUCT(G99:G102,I99:I102)</f>
        <v>305466.47895833326</v>
      </c>
      <c r="H103">
        <f>SUMPRODUCT(H99:H102,I99:I102)</f>
        <v>4855797.4873777777</v>
      </c>
      <c r="I103" s="10">
        <f>SUM(I99:I102)</f>
        <v>65572</v>
      </c>
      <c r="P103" s="27"/>
      <c r="Q103" s="18" t="s">
        <v>2</v>
      </c>
      <c r="R103" s="11" t="s">
        <v>281</v>
      </c>
      <c r="S103" s="12">
        <v>4.7006284722222222</v>
      </c>
      <c r="T103" s="12">
        <v>74.11028125</v>
      </c>
      <c r="U103" s="41">
        <f t="shared" si="8"/>
        <v>4</v>
      </c>
      <c r="V103" s="19">
        <f t="shared" si="9"/>
        <v>42</v>
      </c>
      <c r="W103" s="19">
        <f t="shared" si="10"/>
        <v>2.2599999999999998</v>
      </c>
      <c r="X103" s="41">
        <f t="shared" si="11"/>
        <v>74</v>
      </c>
      <c r="Y103" s="19">
        <f t="shared" si="12"/>
        <v>6</v>
      </c>
      <c r="Z103" s="19">
        <f t="shared" si="13"/>
        <v>37.01</v>
      </c>
      <c r="AA103" s="18" t="str">
        <f t="shared" si="14"/>
        <v>4°42′2.26″N 74°6′37.01″W</v>
      </c>
    </row>
    <row r="104" spans="1:27" x14ac:dyDescent="0.25">
      <c r="F104" s="11" t="s">
        <v>277</v>
      </c>
      <c r="G104" s="12">
        <f>G103/I103</f>
        <v>4.6584895833333322</v>
      </c>
      <c r="H104" s="12">
        <f>H103/I103</f>
        <v>74.052911111111115</v>
      </c>
      <c r="I104" s="44" t="s">
        <v>272</v>
      </c>
      <c r="J104" s="44"/>
      <c r="K104" s="20" t="s">
        <v>267</v>
      </c>
      <c r="L104" s="45" t="s">
        <v>276</v>
      </c>
      <c r="M104" s="46"/>
      <c r="P104" s="27"/>
      <c r="Q104" s="18" t="s">
        <v>3</v>
      </c>
      <c r="R104" s="11" t="s">
        <v>375</v>
      </c>
      <c r="S104" s="12">
        <v>4.7504541666666666</v>
      </c>
      <c r="T104" s="12">
        <v>74.077729861111095</v>
      </c>
      <c r="U104" s="41">
        <f t="shared" si="8"/>
        <v>4</v>
      </c>
      <c r="V104" s="19">
        <f t="shared" si="9"/>
        <v>45</v>
      </c>
      <c r="W104" s="19">
        <f t="shared" si="10"/>
        <v>1.63</v>
      </c>
      <c r="X104" s="41">
        <f t="shared" si="11"/>
        <v>74</v>
      </c>
      <c r="Y104" s="19">
        <f t="shared" si="12"/>
        <v>4</v>
      </c>
      <c r="Z104" s="19">
        <f t="shared" si="13"/>
        <v>39.83</v>
      </c>
      <c r="AA104" s="18" t="str">
        <f t="shared" si="14"/>
        <v>4°45′1.63″N 74°4′39.83″W</v>
      </c>
    </row>
    <row r="105" spans="1:27" ht="15.75" x14ac:dyDescent="0.25">
      <c r="G105" s="14" t="s">
        <v>273</v>
      </c>
      <c r="H105" s="14" t="s">
        <v>274</v>
      </c>
      <c r="L105" s="7" t="s">
        <v>275</v>
      </c>
      <c r="M105" s="8">
        <f>SUMPRODUCT(I99:I102,J99:J102)</f>
        <v>1046.9210216149706</v>
      </c>
      <c r="P105" s="27"/>
      <c r="Q105" s="18" t="s">
        <v>4</v>
      </c>
      <c r="R105" s="11" t="s">
        <v>376</v>
      </c>
      <c r="S105" s="12">
        <v>4.6723638888888885</v>
      </c>
      <c r="T105" s="12">
        <v>74.073479166666658</v>
      </c>
      <c r="U105" s="41">
        <f t="shared" si="8"/>
        <v>4</v>
      </c>
      <c r="V105" s="19">
        <f t="shared" si="9"/>
        <v>40</v>
      </c>
      <c r="W105" s="19">
        <f t="shared" si="10"/>
        <v>20.51</v>
      </c>
      <c r="X105" s="41">
        <f t="shared" si="11"/>
        <v>74</v>
      </c>
      <c r="Y105" s="19">
        <f t="shared" si="12"/>
        <v>4</v>
      </c>
      <c r="Z105" s="19">
        <f t="shared" si="13"/>
        <v>24.52</v>
      </c>
      <c r="AA105" s="18" t="str">
        <f t="shared" si="14"/>
        <v>4°40′20.51″N 74°4′24.52″W</v>
      </c>
    </row>
    <row r="106" spans="1:27" x14ac:dyDescent="0.25">
      <c r="P106" s="27"/>
      <c r="Q106" s="18" t="s">
        <v>5</v>
      </c>
      <c r="R106" s="11" t="s">
        <v>377</v>
      </c>
      <c r="S106" s="12">
        <v>4.6415826388888899</v>
      </c>
      <c r="T106" s="12">
        <v>74.085479166666659</v>
      </c>
      <c r="U106" s="41">
        <f t="shared" si="8"/>
        <v>4</v>
      </c>
      <c r="V106" s="19">
        <f t="shared" si="9"/>
        <v>38</v>
      </c>
      <c r="W106" s="19">
        <f t="shared" si="10"/>
        <v>29.7</v>
      </c>
      <c r="X106" s="41">
        <f t="shared" si="11"/>
        <v>74</v>
      </c>
      <c r="Y106" s="19">
        <f t="shared" si="12"/>
        <v>5</v>
      </c>
      <c r="Z106" s="19">
        <f t="shared" si="13"/>
        <v>7.72</v>
      </c>
      <c r="AA106" s="18" t="str">
        <f t="shared" si="14"/>
        <v>4°38′29.7″N 74°5′7.72″W</v>
      </c>
    </row>
    <row r="107" spans="1:27" x14ac:dyDescent="0.25">
      <c r="P107" s="27"/>
      <c r="Q107" s="18" t="s">
        <v>246</v>
      </c>
      <c r="R107" s="11" t="s">
        <v>378</v>
      </c>
      <c r="S107" s="12">
        <v>4.6069131944444432</v>
      </c>
      <c r="T107" s="12">
        <v>74.086979166666666</v>
      </c>
      <c r="U107" s="41">
        <f t="shared" si="8"/>
        <v>4</v>
      </c>
      <c r="V107" s="19">
        <f t="shared" si="9"/>
        <v>36</v>
      </c>
      <c r="W107" s="19">
        <f t="shared" si="10"/>
        <v>24.89</v>
      </c>
      <c r="X107" s="41">
        <f t="shared" si="11"/>
        <v>74</v>
      </c>
      <c r="Y107" s="19">
        <f t="shared" si="12"/>
        <v>5</v>
      </c>
      <c r="Z107" s="19">
        <f t="shared" si="13"/>
        <v>13.12</v>
      </c>
      <c r="AA107" s="18" t="str">
        <f t="shared" si="14"/>
        <v>4°36′24.89″N 74°5′13.12″W</v>
      </c>
    </row>
    <row r="108" spans="1:27" ht="30" x14ac:dyDescent="0.25">
      <c r="A108">
        <v>3</v>
      </c>
      <c r="B108" s="17" t="s">
        <v>290</v>
      </c>
      <c r="C108" s="17" t="s">
        <v>285</v>
      </c>
      <c r="D108" s="17" t="s">
        <v>74</v>
      </c>
      <c r="E108" s="17" t="s">
        <v>63</v>
      </c>
      <c r="F108" s="17" t="s">
        <v>64</v>
      </c>
      <c r="G108" s="2" t="s">
        <v>266</v>
      </c>
      <c r="H108" s="2" t="s">
        <v>267</v>
      </c>
      <c r="I108" s="2" t="s">
        <v>282</v>
      </c>
      <c r="J108" s="2" t="s">
        <v>268</v>
      </c>
      <c r="P108" s="27"/>
      <c r="Q108" s="18" t="s">
        <v>6</v>
      </c>
      <c r="R108" s="11" t="s">
        <v>379</v>
      </c>
      <c r="S108" s="12">
        <v>4.5902423611111107</v>
      </c>
      <c r="T108" s="12">
        <v>74.106183333333334</v>
      </c>
      <c r="U108" s="41">
        <f t="shared" si="8"/>
        <v>4</v>
      </c>
      <c r="V108" s="19">
        <f t="shared" si="9"/>
        <v>35</v>
      </c>
      <c r="W108" s="19">
        <f t="shared" si="10"/>
        <v>24.87</v>
      </c>
      <c r="X108" s="41">
        <f t="shared" si="11"/>
        <v>74</v>
      </c>
      <c r="Y108" s="19">
        <f t="shared" si="12"/>
        <v>6</v>
      </c>
      <c r="Z108" s="19">
        <f t="shared" si="13"/>
        <v>22.26</v>
      </c>
      <c r="AA108" s="18" t="str">
        <f t="shared" si="14"/>
        <v>4°35′24.87″N 74°6′22.26″W</v>
      </c>
    </row>
    <row r="109" spans="1:27" ht="15.75" x14ac:dyDescent="0.25">
      <c r="B109" s="22">
        <v>1</v>
      </c>
      <c r="C109" s="4" t="s">
        <v>286</v>
      </c>
      <c r="D109" t="s">
        <v>14</v>
      </c>
      <c r="E109" s="21" t="s">
        <v>315</v>
      </c>
      <c r="F109" t="s">
        <v>215</v>
      </c>
      <c r="G109" s="5">
        <v>4.6204638888888896</v>
      </c>
      <c r="H109" s="5">
        <v>74.06465</v>
      </c>
      <c r="I109" s="8">
        <v>16393</v>
      </c>
      <c r="J109" s="7">
        <f>SQRT(($G$114-G109)^2+($H$114-H109)^2)</f>
        <v>2.2500189438930479E-2</v>
      </c>
      <c r="P109" s="27"/>
      <c r="Q109" s="18" t="s">
        <v>7</v>
      </c>
      <c r="R109" s="11" t="s">
        <v>380</v>
      </c>
      <c r="S109" s="12">
        <v>4.6170208333333331</v>
      </c>
      <c r="T109" s="12">
        <v>74.107943055555552</v>
      </c>
      <c r="U109" s="41">
        <f t="shared" si="8"/>
        <v>4</v>
      </c>
      <c r="V109" s="19">
        <f t="shared" si="9"/>
        <v>37</v>
      </c>
      <c r="W109" s="19">
        <f t="shared" si="10"/>
        <v>1.27</v>
      </c>
      <c r="X109" s="41">
        <f t="shared" si="11"/>
        <v>74</v>
      </c>
      <c r="Y109" s="19">
        <f t="shared" si="12"/>
        <v>6</v>
      </c>
      <c r="Z109" s="19">
        <f t="shared" si="13"/>
        <v>28.59</v>
      </c>
      <c r="AA109" s="18" t="str">
        <f t="shared" si="14"/>
        <v>4°37′1.27″N 74°6′28.59″W</v>
      </c>
    </row>
    <row r="110" spans="1:27" ht="15.75" x14ac:dyDescent="0.25">
      <c r="B110" s="22">
        <v>2</v>
      </c>
      <c r="C110" s="4" t="s">
        <v>288</v>
      </c>
      <c r="D110" t="s">
        <v>14</v>
      </c>
      <c r="E110" s="21" t="s">
        <v>316</v>
      </c>
      <c r="F110" t="s">
        <v>215</v>
      </c>
      <c r="G110" s="5">
        <v>4.5812416666666662</v>
      </c>
      <c r="H110" s="5">
        <v>74.076777777777778</v>
      </c>
      <c r="I110" s="8">
        <v>16393</v>
      </c>
      <c r="J110" s="7">
        <f t="shared" ref="J110:J112" si="15">SQRT(($G$114-G110)^2+($H$114-H110)^2)</f>
        <v>1.8596964526574819E-2</v>
      </c>
      <c r="P110" s="27"/>
      <c r="Q110" s="18" t="s">
        <v>8</v>
      </c>
      <c r="R110" s="11" t="s">
        <v>381</v>
      </c>
      <c r="S110" s="12">
        <v>4.5973236111111104</v>
      </c>
      <c r="T110" s="12">
        <v>74.072106944444442</v>
      </c>
      <c r="U110" s="41">
        <f t="shared" si="8"/>
        <v>4</v>
      </c>
      <c r="V110" s="19">
        <f t="shared" si="9"/>
        <v>35</v>
      </c>
      <c r="W110" s="19">
        <f t="shared" si="10"/>
        <v>50.36</v>
      </c>
      <c r="X110" s="41">
        <f t="shared" si="11"/>
        <v>74</v>
      </c>
      <c r="Y110" s="19">
        <f t="shared" si="12"/>
        <v>4</v>
      </c>
      <c r="Z110" s="19">
        <f t="shared" si="13"/>
        <v>19.579999999999998</v>
      </c>
      <c r="AA110" s="18" t="str">
        <f t="shared" si="14"/>
        <v>4°35′50.36″N 74°4′19.58″W</v>
      </c>
    </row>
    <row r="111" spans="1:27" ht="15.75" x14ac:dyDescent="0.25">
      <c r="B111" s="22">
        <v>3</v>
      </c>
      <c r="C111" s="4" t="s">
        <v>289</v>
      </c>
      <c r="D111" t="s">
        <v>14</v>
      </c>
      <c r="E111" s="21" t="s">
        <v>317</v>
      </c>
      <c r="F111" t="s">
        <v>215</v>
      </c>
      <c r="G111" s="5">
        <v>4.6018388888888886</v>
      </c>
      <c r="H111" s="5">
        <v>74.078386111111101</v>
      </c>
      <c r="I111" s="8">
        <v>16393</v>
      </c>
      <c r="J111" s="7">
        <f t="shared" si="15"/>
        <v>6.7181130188973719E-3</v>
      </c>
      <c r="P111" s="27"/>
      <c r="Q111" s="18" t="s">
        <v>9</v>
      </c>
      <c r="R111" s="11" t="s">
        <v>382</v>
      </c>
      <c r="S111" s="12">
        <v>4.5728305555555551</v>
      </c>
      <c r="T111" s="12">
        <v>74.115049999999982</v>
      </c>
      <c r="U111" s="41">
        <f t="shared" si="8"/>
        <v>4</v>
      </c>
      <c r="V111" s="19">
        <f t="shared" si="9"/>
        <v>34</v>
      </c>
      <c r="W111" s="19">
        <f t="shared" si="10"/>
        <v>22.19</v>
      </c>
      <c r="X111" s="41">
        <f t="shared" si="11"/>
        <v>74</v>
      </c>
      <c r="Y111" s="19">
        <f t="shared" si="12"/>
        <v>6</v>
      </c>
      <c r="Z111" s="19">
        <f t="shared" si="13"/>
        <v>54.18</v>
      </c>
      <c r="AA111" s="18" t="str">
        <f t="shared" si="14"/>
        <v>4°34′22.19″N 74°6′54.18″W</v>
      </c>
    </row>
    <row r="112" spans="1:27" ht="15.75" x14ac:dyDescent="0.25">
      <c r="B112" s="22">
        <v>4</v>
      </c>
      <c r="C112" s="4" t="s">
        <v>287</v>
      </c>
      <c r="D112" t="s">
        <v>14</v>
      </c>
      <c r="E112" s="21" t="s">
        <v>318</v>
      </c>
      <c r="F112" t="s">
        <v>215</v>
      </c>
      <c r="G112" s="5">
        <v>4.5935027777777773</v>
      </c>
      <c r="H112" s="5">
        <v>74.068913888888886</v>
      </c>
      <c r="I112" s="8">
        <v>16393</v>
      </c>
      <c r="J112" s="7">
        <f t="shared" si="15"/>
        <v>6.6216756232381603E-3</v>
      </c>
      <c r="P112" s="27"/>
      <c r="Q112" s="18" t="s">
        <v>10</v>
      </c>
      <c r="R112" s="11" t="s">
        <v>383</v>
      </c>
      <c r="S112" s="12">
        <v>4.5597215277777776</v>
      </c>
      <c r="T112" s="12">
        <v>74.159520138888908</v>
      </c>
      <c r="U112" s="41">
        <f t="shared" si="8"/>
        <v>4</v>
      </c>
      <c r="V112" s="19">
        <f t="shared" si="9"/>
        <v>33</v>
      </c>
      <c r="W112" s="19">
        <f t="shared" si="10"/>
        <v>35</v>
      </c>
      <c r="X112" s="41">
        <f t="shared" si="11"/>
        <v>74</v>
      </c>
      <c r="Y112" s="19">
        <f t="shared" si="12"/>
        <v>9</v>
      </c>
      <c r="Z112" s="19">
        <f t="shared" si="13"/>
        <v>34.270000000000003</v>
      </c>
      <c r="AA112" s="18" t="str">
        <f t="shared" si="14"/>
        <v>4°33′35″N 74°9′34.27″W</v>
      </c>
    </row>
    <row r="113" spans="1:27" x14ac:dyDescent="0.25">
      <c r="G113">
        <f>SUMPRODUCT(G109:G112,I109:I112)</f>
        <v>301582.79511388886</v>
      </c>
      <c r="H113">
        <f>SUMPRODUCT(H109:H112,I109:I112)</f>
        <v>4857061.1144611109</v>
      </c>
      <c r="I113" s="10">
        <f>SUM(I109:I112)</f>
        <v>65572</v>
      </c>
      <c r="P113" s="27"/>
      <c r="Q113" s="18" t="s">
        <v>11</v>
      </c>
      <c r="R113" s="11" t="s">
        <v>384</v>
      </c>
      <c r="S113" s="12">
        <v>4.3224812499999992</v>
      </c>
      <c r="T113" s="12">
        <v>74.187693750000008</v>
      </c>
      <c r="U113" s="41">
        <f t="shared" si="8"/>
        <v>4</v>
      </c>
      <c r="V113" s="19">
        <f t="shared" si="9"/>
        <v>19</v>
      </c>
      <c r="W113" s="19">
        <f t="shared" si="10"/>
        <v>20.93</v>
      </c>
      <c r="X113" s="41">
        <f t="shared" si="11"/>
        <v>74</v>
      </c>
      <c r="Y113" s="19">
        <f t="shared" si="12"/>
        <v>11</v>
      </c>
      <c r="Z113" s="19">
        <f t="shared" si="13"/>
        <v>15.7</v>
      </c>
      <c r="AA113" s="18" t="str">
        <f t="shared" si="14"/>
        <v>4°19′20.93″N 74°11′15.7″W</v>
      </c>
    </row>
    <row r="114" spans="1:27" x14ac:dyDescent="0.25">
      <c r="F114" s="11" t="s">
        <v>278</v>
      </c>
      <c r="G114" s="12">
        <f>G113/I113</f>
        <v>4.599261805555555</v>
      </c>
      <c r="H114" s="12">
        <f>H113/I113</f>
        <v>74.072181944444438</v>
      </c>
      <c r="I114" s="44" t="s">
        <v>272</v>
      </c>
      <c r="J114" s="44"/>
      <c r="K114" s="20" t="s">
        <v>267</v>
      </c>
      <c r="L114" s="45" t="s">
        <v>276</v>
      </c>
      <c r="M114" s="46"/>
      <c r="S114" s="24"/>
    </row>
    <row r="115" spans="1:27" ht="15.75" x14ac:dyDescent="0.25">
      <c r="G115" s="14" t="s">
        <v>273</v>
      </c>
      <c r="H115" s="14" t="s">
        <v>274</v>
      </c>
      <c r="L115" s="7" t="s">
        <v>275</v>
      </c>
      <c r="M115" s="8">
        <f>SUMPRODUCT(I109:I112,J109:J112)</f>
        <v>892.38480016705614</v>
      </c>
    </row>
    <row r="118" spans="1:27" ht="30" x14ac:dyDescent="0.25">
      <c r="A118">
        <v>4</v>
      </c>
      <c r="B118" s="17" t="s">
        <v>290</v>
      </c>
      <c r="C118" s="17" t="s">
        <v>285</v>
      </c>
      <c r="D118" s="17" t="s">
        <v>74</v>
      </c>
      <c r="E118" s="17" t="s">
        <v>63</v>
      </c>
      <c r="F118" s="17" t="s">
        <v>64</v>
      </c>
      <c r="G118" s="2" t="s">
        <v>266</v>
      </c>
      <c r="H118" s="2" t="s">
        <v>267</v>
      </c>
      <c r="I118" s="2" t="s">
        <v>282</v>
      </c>
      <c r="J118" s="2" t="s">
        <v>268</v>
      </c>
    </row>
    <row r="119" spans="1:27" ht="15.75" x14ac:dyDescent="0.25">
      <c r="B119" s="22">
        <v>1</v>
      </c>
      <c r="C119" s="19" t="s">
        <v>286</v>
      </c>
      <c r="D119" t="s">
        <v>15</v>
      </c>
      <c r="E119" s="21" t="s">
        <v>323</v>
      </c>
      <c r="F119" t="s">
        <v>61</v>
      </c>
      <c r="G119" s="5">
        <v>4.5874444444444444</v>
      </c>
      <c r="H119" s="5">
        <v>74.08371388888888</v>
      </c>
      <c r="I119" s="8">
        <v>16393</v>
      </c>
      <c r="J119" s="7">
        <f>SQRT(($G$124-G119)^2+($H$124-H119)^2)</f>
        <v>3.1949474611507954E-2</v>
      </c>
    </row>
    <row r="120" spans="1:27" ht="15.75" x14ac:dyDescent="0.25">
      <c r="B120" s="22">
        <v>2</v>
      </c>
      <c r="C120" s="19" t="s">
        <v>288</v>
      </c>
      <c r="D120" t="s">
        <v>15</v>
      </c>
      <c r="E120" s="21" t="s">
        <v>324</v>
      </c>
      <c r="F120" t="s">
        <v>61</v>
      </c>
      <c r="G120" s="5">
        <v>4.5218555555555557</v>
      </c>
      <c r="H120" s="5">
        <v>74.088172222222212</v>
      </c>
      <c r="I120" s="8">
        <v>16393</v>
      </c>
      <c r="J120" s="7">
        <f t="shared" ref="J120:J122" si="16">SQRT(($G$124-G120)^2+($H$124-H120)^2)</f>
        <v>3.3844422963909652E-2</v>
      </c>
    </row>
    <row r="121" spans="1:27" ht="15.75" x14ac:dyDescent="0.25">
      <c r="B121" s="22">
        <v>3</v>
      </c>
      <c r="C121" s="19" t="s">
        <v>289</v>
      </c>
      <c r="D121" t="s">
        <v>15</v>
      </c>
      <c r="E121" s="21" t="s">
        <v>326</v>
      </c>
      <c r="F121" t="s">
        <v>61</v>
      </c>
      <c r="G121" s="5">
        <v>4.5715944444444441</v>
      </c>
      <c r="H121" s="5">
        <v>74.097772222222218</v>
      </c>
      <c r="I121" s="8">
        <v>16393</v>
      </c>
      <c r="J121" s="7">
        <f t="shared" si="16"/>
        <v>1.9099045683149383E-2</v>
      </c>
    </row>
    <row r="122" spans="1:27" ht="15.75" x14ac:dyDescent="0.25">
      <c r="B122" s="22">
        <v>4</v>
      </c>
      <c r="C122" s="19" t="s">
        <v>287</v>
      </c>
      <c r="D122" t="s">
        <v>15</v>
      </c>
      <c r="E122" s="21" t="s">
        <v>325</v>
      </c>
      <c r="F122" t="s">
        <v>61</v>
      </c>
      <c r="G122" s="5">
        <v>4.5418500000000002</v>
      </c>
      <c r="H122" s="5">
        <v>74.079155555555545</v>
      </c>
      <c r="I122" s="8">
        <v>16393</v>
      </c>
      <c r="J122" s="7">
        <f t="shared" si="16"/>
        <v>1.6006465360992685E-2</v>
      </c>
    </row>
    <row r="123" spans="1:27" x14ac:dyDescent="0.25">
      <c r="G123">
        <f>SUMPRODUCT(G119:G122,I119:I122)</f>
        <v>298725.44967777777</v>
      </c>
      <c r="H123">
        <f>SUMPRODUCT(H119:H122,I119:I122)</f>
        <v>4858046.1060805554</v>
      </c>
      <c r="I123" s="10">
        <f>SUM(I119:I122)</f>
        <v>65572</v>
      </c>
    </row>
    <row r="124" spans="1:27" x14ac:dyDescent="0.25">
      <c r="F124" s="11" t="s">
        <v>371</v>
      </c>
      <c r="G124" s="12">
        <f>G123/I123</f>
        <v>4.5556861111111111</v>
      </c>
      <c r="H124" s="12">
        <f>H123/I123</f>
        <v>74.087203472222214</v>
      </c>
      <c r="I124" s="44" t="s">
        <v>272</v>
      </c>
      <c r="J124" s="44"/>
      <c r="K124" s="20" t="s">
        <v>267</v>
      </c>
      <c r="L124" s="45" t="s">
        <v>276</v>
      </c>
      <c r="M124" s="46"/>
    </row>
    <row r="125" spans="1:27" ht="15.75" x14ac:dyDescent="0.25">
      <c r="G125" s="14" t="s">
        <v>273</v>
      </c>
      <c r="H125" s="14" t="s">
        <v>274</v>
      </c>
      <c r="L125" s="7" t="s">
        <v>275</v>
      </c>
      <c r="M125" s="8">
        <f>SUMPRODUCT(I119:I122,J119:J122)</f>
        <v>1654.0440055004417</v>
      </c>
    </row>
    <row r="128" spans="1:27" ht="30" x14ac:dyDescent="0.25">
      <c r="A128">
        <v>5</v>
      </c>
      <c r="B128" s="17" t="s">
        <v>290</v>
      </c>
      <c r="C128" s="17" t="s">
        <v>285</v>
      </c>
      <c r="D128" s="17" t="s">
        <v>74</v>
      </c>
      <c r="E128" s="17" t="s">
        <v>63</v>
      </c>
      <c r="F128" s="17" t="s">
        <v>64</v>
      </c>
      <c r="G128" s="2" t="s">
        <v>266</v>
      </c>
      <c r="H128" s="2" t="s">
        <v>267</v>
      </c>
      <c r="I128" s="2" t="s">
        <v>282</v>
      </c>
      <c r="J128" s="2" t="s">
        <v>268</v>
      </c>
    </row>
    <row r="129" spans="1:13" ht="15.75" x14ac:dyDescent="0.25">
      <c r="B129" s="22">
        <v>1</v>
      </c>
      <c r="C129" s="19" t="s">
        <v>286</v>
      </c>
      <c r="D129" t="s">
        <v>16</v>
      </c>
      <c r="E129" s="21" t="s">
        <v>334</v>
      </c>
      <c r="F129" t="s">
        <v>60</v>
      </c>
      <c r="G129" s="5">
        <v>4.5412638888888885</v>
      </c>
      <c r="H129" s="5">
        <v>74.117497222222212</v>
      </c>
      <c r="I129" s="8">
        <v>16393</v>
      </c>
      <c r="J129" s="7">
        <f>SQRT(($G$134-G129)^2+($H$134-H129)^2)</f>
        <v>4.1378366018759979E-2</v>
      </c>
      <c r="L129" s="43"/>
      <c r="M129" s="43"/>
    </row>
    <row r="130" spans="1:13" ht="15.75" x14ac:dyDescent="0.25">
      <c r="B130" s="22">
        <v>2</v>
      </c>
      <c r="C130" s="19" t="s">
        <v>288</v>
      </c>
      <c r="D130" t="s">
        <v>16</v>
      </c>
      <c r="E130" s="21" t="s">
        <v>335</v>
      </c>
      <c r="F130" t="s">
        <v>60</v>
      </c>
      <c r="G130" s="5">
        <v>4.4784555555555556</v>
      </c>
      <c r="H130" s="5">
        <v>74.092738888888888</v>
      </c>
      <c r="I130" s="8">
        <v>16393</v>
      </c>
      <c r="J130" s="7">
        <f t="shared" ref="J130:J132" si="17">SQRT(($G$134-G130)^2+($H$134-H130)^2)</f>
        <v>2.6503974340920888E-2</v>
      </c>
      <c r="L130" s="43"/>
      <c r="M130" s="43"/>
    </row>
    <row r="131" spans="1:13" ht="15.75" x14ac:dyDescent="0.25">
      <c r="B131" s="22">
        <v>3</v>
      </c>
      <c r="C131" s="19" t="s">
        <v>289</v>
      </c>
      <c r="D131" t="s">
        <v>16</v>
      </c>
      <c r="E131" s="21" t="s">
        <v>336</v>
      </c>
      <c r="F131" t="s">
        <v>60</v>
      </c>
      <c r="G131" s="5">
        <v>4.4732222222222227</v>
      </c>
      <c r="H131" s="5">
        <v>74.121833333333328</v>
      </c>
      <c r="I131" s="8">
        <v>16393</v>
      </c>
      <c r="J131" s="7">
        <f t="shared" si="17"/>
        <v>3.2729666315111636E-2</v>
      </c>
      <c r="L131" s="43"/>
      <c r="M131" s="43"/>
    </row>
    <row r="132" spans="1:13" ht="15.75" x14ac:dyDescent="0.25">
      <c r="B132" s="22">
        <v>4</v>
      </c>
      <c r="C132" s="19" t="s">
        <v>287</v>
      </c>
      <c r="D132" t="s">
        <v>16</v>
      </c>
      <c r="E132" s="21" t="s">
        <v>337</v>
      </c>
      <c r="F132" t="s">
        <v>60</v>
      </c>
      <c r="G132" s="5">
        <v>4.5136027777777779</v>
      </c>
      <c r="H132" s="5">
        <v>74.090286111111112</v>
      </c>
      <c r="I132" s="8">
        <v>16393</v>
      </c>
      <c r="J132" s="7">
        <f t="shared" si="17"/>
        <v>1.9426170976986915E-2</v>
      </c>
      <c r="L132" s="43"/>
      <c r="M132" s="43"/>
    </row>
    <row r="133" spans="1:13" x14ac:dyDescent="0.25">
      <c r="G133">
        <f>SUMPRODUCT(G129:G132,I129:I132)</f>
        <v>295181.28307777777</v>
      </c>
      <c r="H133">
        <f>SUMPRODUCT(H129:H132,I129:I132)</f>
        <v>4859251.6746222218</v>
      </c>
      <c r="I133" s="10">
        <f>SUM(I129:I132)</f>
        <v>65572</v>
      </c>
    </row>
    <row r="134" spans="1:13" x14ac:dyDescent="0.25">
      <c r="F134" s="11" t="s">
        <v>279</v>
      </c>
      <c r="G134" s="12">
        <f>G133/I133</f>
        <v>4.5016361111111109</v>
      </c>
      <c r="H134" s="12">
        <f>H133/I133</f>
        <v>74.105588888888889</v>
      </c>
      <c r="I134" s="44" t="s">
        <v>272</v>
      </c>
      <c r="J134" s="44"/>
      <c r="K134" s="20" t="s">
        <v>267</v>
      </c>
      <c r="L134" s="45" t="s">
        <v>276</v>
      </c>
      <c r="M134" s="46"/>
    </row>
    <row r="135" spans="1:13" ht="15.75" x14ac:dyDescent="0.25">
      <c r="G135" s="14" t="s">
        <v>273</v>
      </c>
      <c r="H135" s="14" t="s">
        <v>274</v>
      </c>
      <c r="L135" s="7" t="s">
        <v>275</v>
      </c>
      <c r="M135" s="8">
        <f>SUMPRODUCT(I129:I132,J129:J132)</f>
        <v>1967.78584624562</v>
      </c>
    </row>
    <row r="138" spans="1:13" ht="30" x14ac:dyDescent="0.25">
      <c r="A138">
        <v>6</v>
      </c>
      <c r="B138" s="17" t="s">
        <v>290</v>
      </c>
      <c r="C138" s="17" t="s">
        <v>285</v>
      </c>
      <c r="D138" s="17" t="s">
        <v>74</v>
      </c>
      <c r="E138" s="17" t="s">
        <v>63</v>
      </c>
      <c r="F138" s="17" t="s">
        <v>64</v>
      </c>
      <c r="G138" s="2" t="s">
        <v>266</v>
      </c>
      <c r="H138" s="2" t="s">
        <v>267</v>
      </c>
      <c r="I138" s="2" t="s">
        <v>282</v>
      </c>
      <c r="J138" s="2" t="s">
        <v>268</v>
      </c>
    </row>
    <row r="139" spans="1:13" ht="15.75" x14ac:dyDescent="0.25">
      <c r="B139" s="22">
        <v>1</v>
      </c>
      <c r="C139" s="19" t="s">
        <v>286</v>
      </c>
      <c r="D139" t="s">
        <v>0</v>
      </c>
      <c r="E139" s="21" t="s">
        <v>338</v>
      </c>
      <c r="F139" t="s">
        <v>60</v>
      </c>
      <c r="G139" s="5">
        <v>4.5834694444444439</v>
      </c>
      <c r="H139" s="5">
        <v>74.132127777777768</v>
      </c>
      <c r="I139" s="8">
        <v>16393</v>
      </c>
      <c r="J139" s="7">
        <f>SQRT(($G$144-G139)^2+($H$144-H139)^2)</f>
        <v>6.6007528929568921E-3</v>
      </c>
    </row>
    <row r="140" spans="1:13" ht="15.75" x14ac:dyDescent="0.25">
      <c r="B140" s="22">
        <v>2</v>
      </c>
      <c r="C140" s="19" t="s">
        <v>288</v>
      </c>
      <c r="D140" t="s">
        <v>0</v>
      </c>
      <c r="E140" s="21" t="s">
        <v>339</v>
      </c>
      <c r="F140" t="s">
        <v>60</v>
      </c>
      <c r="G140" s="5">
        <v>4.5788388888888889</v>
      </c>
      <c r="H140" s="5">
        <v>74.147308333333342</v>
      </c>
      <c r="I140" s="8">
        <v>16393</v>
      </c>
      <c r="J140" s="7">
        <f t="shared" ref="J140:J142" si="18">SQRT(($G$144-G140)^2+($H$144-H140)^2)</f>
        <v>9.9378103113839794E-3</v>
      </c>
    </row>
    <row r="141" spans="1:13" ht="15.75" x14ac:dyDescent="0.25">
      <c r="B141" s="22">
        <v>3</v>
      </c>
      <c r="C141" s="19" t="s">
        <v>289</v>
      </c>
      <c r="D141" t="s">
        <v>0</v>
      </c>
      <c r="E141" s="21" t="s">
        <v>341</v>
      </c>
      <c r="F141" t="s">
        <v>60</v>
      </c>
      <c r="G141" s="5">
        <v>4.5945916666666662</v>
      </c>
      <c r="H141" s="5">
        <v>74.144680555555567</v>
      </c>
      <c r="I141" s="8">
        <v>16393</v>
      </c>
      <c r="J141" s="7">
        <f t="shared" si="18"/>
        <v>1.6771545260375161E-2</v>
      </c>
    </row>
    <row r="142" spans="1:13" ht="15.75" x14ac:dyDescent="0.25">
      <c r="B142" s="22">
        <v>4</v>
      </c>
      <c r="C142" s="19" t="s">
        <v>287</v>
      </c>
      <c r="D142" t="s">
        <v>0</v>
      </c>
      <c r="E142" s="21" t="s">
        <v>340</v>
      </c>
      <c r="F142" t="s">
        <v>60</v>
      </c>
      <c r="G142" s="5">
        <v>4.5610472222222223</v>
      </c>
      <c r="H142" s="5">
        <v>74.125449999999987</v>
      </c>
      <c r="I142" s="8">
        <v>16393</v>
      </c>
      <c r="J142" s="7">
        <f t="shared" si="18"/>
        <v>2.1968651216786848E-2</v>
      </c>
    </row>
    <row r="143" spans="1:13" x14ac:dyDescent="0.25">
      <c r="G143">
        <f>SUMPRODUCT(G139:G142,I139:I142)</f>
        <v>300286.10881388886</v>
      </c>
      <c r="H143">
        <f>SUMPRODUCT(H139:H142,I139:I142)</f>
        <v>4861337.0463666664</v>
      </c>
      <c r="I143" s="10">
        <f>SUM(I139:I142)</f>
        <v>65572</v>
      </c>
    </row>
    <row r="144" spans="1:13" x14ac:dyDescent="0.25">
      <c r="F144" s="11" t="s">
        <v>372</v>
      </c>
      <c r="G144" s="12">
        <f>G143/I143</f>
        <v>4.5794868055555549</v>
      </c>
      <c r="H144" s="12">
        <f>H143/I143</f>
        <v>74.137391666666659</v>
      </c>
      <c r="I144" s="44" t="s">
        <v>272</v>
      </c>
      <c r="J144" s="44"/>
      <c r="K144" s="20" t="s">
        <v>267</v>
      </c>
      <c r="L144" s="45" t="s">
        <v>276</v>
      </c>
      <c r="M144" s="46"/>
    </row>
    <row r="145" spans="1:13" ht="15.75" x14ac:dyDescent="0.25">
      <c r="G145" s="14" t="s">
        <v>273</v>
      </c>
      <c r="H145" s="14" t="s">
        <v>274</v>
      </c>
      <c r="L145" s="7" t="s">
        <v>275</v>
      </c>
      <c r="M145" s="8">
        <f>SUMPRODUCT(I139:I142,J139:J142)</f>
        <v>906.1847074588768</v>
      </c>
    </row>
    <row r="148" spans="1:13" ht="30" x14ac:dyDescent="0.25">
      <c r="A148">
        <v>7</v>
      </c>
      <c r="B148" s="17" t="s">
        <v>290</v>
      </c>
      <c r="C148" s="17" t="s">
        <v>285</v>
      </c>
      <c r="D148" s="17" t="s">
        <v>74</v>
      </c>
      <c r="E148" s="17" t="s">
        <v>63</v>
      </c>
      <c r="F148" s="17" t="s">
        <v>64</v>
      </c>
      <c r="G148" s="2" t="s">
        <v>266</v>
      </c>
      <c r="H148" s="2" t="s">
        <v>267</v>
      </c>
      <c r="I148" s="2" t="s">
        <v>282</v>
      </c>
      <c r="J148" s="2" t="s">
        <v>268</v>
      </c>
    </row>
    <row r="149" spans="1:13" ht="15.75" x14ac:dyDescent="0.25">
      <c r="B149" s="22">
        <v>1</v>
      </c>
      <c r="C149" s="19" t="s">
        <v>286</v>
      </c>
      <c r="D149" t="s">
        <v>1</v>
      </c>
      <c r="E149" s="21" t="s">
        <v>353</v>
      </c>
      <c r="F149" t="s">
        <v>146</v>
      </c>
      <c r="G149" s="5">
        <v>4.6304500000000006</v>
      </c>
      <c r="H149" s="5">
        <v>74.178230555555558</v>
      </c>
      <c r="I149" s="8">
        <v>16393</v>
      </c>
      <c r="J149" s="7">
        <f>SQRT(($G$154-G149)^2+($H$154-H149)^2)</f>
        <v>1.7070388162147936E-2</v>
      </c>
    </row>
    <row r="150" spans="1:13" ht="15.75" x14ac:dyDescent="0.25">
      <c r="B150" s="22">
        <v>2</v>
      </c>
      <c r="C150" s="19" t="s">
        <v>288</v>
      </c>
      <c r="D150" t="s">
        <v>1</v>
      </c>
      <c r="E150" s="21" t="s">
        <v>354</v>
      </c>
      <c r="F150" t="s">
        <v>146</v>
      </c>
      <c r="G150" s="5">
        <v>4.617866666666667</v>
      </c>
      <c r="H150" s="5">
        <v>74.204225000000008</v>
      </c>
      <c r="I150" s="8">
        <v>16393</v>
      </c>
      <c r="J150" s="7">
        <f t="shared" ref="J150:J152" si="19">SQRT(($G$154-G150)^2+($H$154-H150)^2)</f>
        <v>1.2531464258040803E-2</v>
      </c>
    </row>
    <row r="151" spans="1:13" ht="15.75" x14ac:dyDescent="0.25">
      <c r="B151" s="22">
        <v>3</v>
      </c>
      <c r="C151" s="19" t="s">
        <v>289</v>
      </c>
      <c r="D151" t="s">
        <v>1</v>
      </c>
      <c r="E151" s="21" t="s">
        <v>355</v>
      </c>
      <c r="F151" t="s">
        <v>146</v>
      </c>
      <c r="G151" s="5">
        <v>4.6351361111111107</v>
      </c>
      <c r="H151" s="5">
        <v>74.205969444444449</v>
      </c>
      <c r="I151" s="8">
        <v>16393</v>
      </c>
      <c r="J151" s="7">
        <f t="shared" si="19"/>
        <v>2.0461550154424368E-2</v>
      </c>
    </row>
    <row r="152" spans="1:13" ht="15.75" x14ac:dyDescent="0.25">
      <c r="B152" s="22">
        <v>4</v>
      </c>
      <c r="C152" s="19" t="s">
        <v>287</v>
      </c>
      <c r="D152" t="s">
        <v>1</v>
      </c>
      <c r="E152" s="21" t="s">
        <v>356</v>
      </c>
      <c r="F152" t="s">
        <v>146</v>
      </c>
      <c r="G152" s="5">
        <v>4.597575</v>
      </c>
      <c r="H152" s="5">
        <v>74.179269444444444</v>
      </c>
      <c r="I152" s="8">
        <v>16393</v>
      </c>
      <c r="J152" s="7">
        <f t="shared" si="19"/>
        <v>2.5973034820924383E-2</v>
      </c>
    </row>
    <row r="153" spans="1:13" x14ac:dyDescent="0.25">
      <c r="G153">
        <f>SUMPRODUCT(G149:G152,I149:I152)</f>
        <v>302959.48836111114</v>
      </c>
      <c r="H153">
        <f>SUMPRODUCT(H149:H152,I149:I152)</f>
        <v>4864912.815027778</v>
      </c>
      <c r="I153" s="10">
        <f>SUM(I149:I152)</f>
        <v>65572</v>
      </c>
    </row>
    <row r="154" spans="1:13" x14ac:dyDescent="0.25">
      <c r="F154" s="11" t="s">
        <v>280</v>
      </c>
      <c r="G154" s="12">
        <f>G153/I153</f>
        <v>4.6202569444444448</v>
      </c>
      <c r="H154" s="12">
        <f>H153/I153</f>
        <v>74.191923611111122</v>
      </c>
      <c r="I154" s="44" t="s">
        <v>272</v>
      </c>
      <c r="J154" s="44"/>
      <c r="K154" s="20" t="s">
        <v>267</v>
      </c>
      <c r="L154" s="45" t="s">
        <v>276</v>
      </c>
      <c r="M154" s="46"/>
    </row>
    <row r="155" spans="1:13" ht="15.75" x14ac:dyDescent="0.25">
      <c r="G155" s="14" t="s">
        <v>273</v>
      </c>
      <c r="H155" s="14" t="s">
        <v>274</v>
      </c>
      <c r="L155" s="7" t="s">
        <v>275</v>
      </c>
      <c r="M155" s="8">
        <f>SUMPRODUCT(I149:I152,J149:J152)</f>
        <v>1246.4653182250461</v>
      </c>
    </row>
    <row r="158" spans="1:13" ht="30" x14ac:dyDescent="0.25">
      <c r="A158">
        <v>8</v>
      </c>
      <c r="B158" s="17" t="s">
        <v>290</v>
      </c>
      <c r="C158" s="17" t="s">
        <v>285</v>
      </c>
      <c r="D158" s="17" t="s">
        <v>74</v>
      </c>
      <c r="E158" s="17" t="s">
        <v>63</v>
      </c>
      <c r="F158" s="17" t="s">
        <v>64</v>
      </c>
      <c r="G158" s="2" t="s">
        <v>266</v>
      </c>
      <c r="H158" s="2" t="s">
        <v>267</v>
      </c>
      <c r="I158" s="2" t="s">
        <v>282</v>
      </c>
      <c r="J158" s="2" t="s">
        <v>268</v>
      </c>
    </row>
    <row r="159" spans="1:13" ht="15.75" x14ac:dyDescent="0.25">
      <c r="B159" s="22">
        <v>1</v>
      </c>
      <c r="C159" s="19" t="s">
        <v>286</v>
      </c>
      <c r="D159" t="s">
        <v>17</v>
      </c>
      <c r="E159" s="21" t="s">
        <v>357</v>
      </c>
      <c r="F159" t="s">
        <v>146</v>
      </c>
      <c r="G159" s="5">
        <v>4.6458805555555553</v>
      </c>
      <c r="H159" s="5">
        <v>74.129161111111102</v>
      </c>
      <c r="I159" s="8">
        <v>16393</v>
      </c>
      <c r="J159" s="7">
        <f>SQRT(($G$164-G159)^2+($H$164-H159)^2)</f>
        <v>2.9320655116407943E-2</v>
      </c>
    </row>
    <row r="160" spans="1:13" ht="15.75" x14ac:dyDescent="0.25">
      <c r="B160" s="22">
        <v>2</v>
      </c>
      <c r="C160" s="19" t="s">
        <v>288</v>
      </c>
      <c r="D160" t="s">
        <v>17</v>
      </c>
      <c r="E160" s="21" t="s">
        <v>358</v>
      </c>
      <c r="F160" t="s">
        <v>146</v>
      </c>
      <c r="G160" s="5">
        <v>4.6134555555555554</v>
      </c>
      <c r="H160" s="5">
        <v>74.175663888888892</v>
      </c>
      <c r="I160" s="8">
        <v>16393</v>
      </c>
      <c r="J160" s="7">
        <f t="shared" ref="J160:J162" si="20">SQRT(($G$164-G160)^2+($H$164-H160)^2)</f>
        <v>2.7464362474206902E-2</v>
      </c>
    </row>
    <row r="161" spans="1:13" ht="15.75" x14ac:dyDescent="0.25">
      <c r="B161" s="22">
        <v>3</v>
      </c>
      <c r="C161" s="19" t="s">
        <v>289</v>
      </c>
      <c r="D161" t="s">
        <v>17</v>
      </c>
      <c r="E161" s="21" t="s">
        <v>359</v>
      </c>
      <c r="F161" t="s">
        <v>146</v>
      </c>
      <c r="G161" s="5">
        <v>4.6541638888888892</v>
      </c>
      <c r="H161" s="5">
        <v>74.161552777777786</v>
      </c>
      <c r="I161" s="8">
        <v>16393</v>
      </c>
      <c r="J161" s="7">
        <f t="shared" si="20"/>
        <v>2.7960896459275856E-2</v>
      </c>
    </row>
    <row r="162" spans="1:13" ht="15.75" x14ac:dyDescent="0.25">
      <c r="B162" s="22">
        <v>4</v>
      </c>
      <c r="C162" s="19" t="s">
        <v>287</v>
      </c>
      <c r="D162" t="s">
        <v>17</v>
      </c>
      <c r="E162" s="21" t="s">
        <v>360</v>
      </c>
      <c r="F162" t="s">
        <v>146</v>
      </c>
      <c r="G162" s="5">
        <v>4.5976944444444445</v>
      </c>
      <c r="H162" s="5">
        <v>74.142591666666675</v>
      </c>
      <c r="I162" s="8">
        <v>16393</v>
      </c>
      <c r="J162" s="7">
        <f t="shared" si="20"/>
        <v>3.1613237005318748E-2</v>
      </c>
    </row>
    <row r="163" spans="1:13" x14ac:dyDescent="0.25">
      <c r="G163">
        <f>SUMPRODUCT(G159:G162,I159:I162)</f>
        <v>303454.01052777772</v>
      </c>
      <c r="H163">
        <f>SUMPRODUCT(H159:H162,I159:I162)</f>
        <v>4862310.8361027781</v>
      </c>
      <c r="I163" s="10">
        <f>SUM(I159:I162)</f>
        <v>65572</v>
      </c>
    </row>
    <row r="164" spans="1:13" x14ac:dyDescent="0.25">
      <c r="F164" s="11" t="s">
        <v>373</v>
      </c>
      <c r="G164" s="12">
        <f>G163/I163</f>
        <v>4.6277986111111105</v>
      </c>
      <c r="H164" s="12">
        <f>H163/I163</f>
        <v>74.152242361111121</v>
      </c>
      <c r="I164" s="44" t="s">
        <v>272</v>
      </c>
      <c r="J164" s="44"/>
      <c r="K164" s="20" t="s">
        <v>267</v>
      </c>
      <c r="L164" s="45" t="s">
        <v>276</v>
      </c>
      <c r="M164" s="46"/>
    </row>
    <row r="165" spans="1:13" ht="15.75" x14ac:dyDescent="0.25">
      <c r="G165" s="14" t="s">
        <v>273</v>
      </c>
      <c r="H165" s="14" t="s">
        <v>274</v>
      </c>
      <c r="L165" s="7" t="s">
        <v>275</v>
      </c>
      <c r="M165" s="8">
        <f>SUMPRODUCT(I159:I162,J159:J162)</f>
        <v>1907.4755632480487</v>
      </c>
    </row>
    <row r="168" spans="1:13" ht="30" x14ac:dyDescent="0.25">
      <c r="A168">
        <v>9</v>
      </c>
      <c r="B168" s="17" t="s">
        <v>290</v>
      </c>
      <c r="C168" s="17" t="s">
        <v>285</v>
      </c>
      <c r="D168" s="17" t="s">
        <v>74</v>
      </c>
      <c r="E168" s="17" t="s">
        <v>63</v>
      </c>
      <c r="F168" s="17" t="s">
        <v>64</v>
      </c>
      <c r="G168" s="2" t="s">
        <v>266</v>
      </c>
      <c r="H168" s="2" t="s">
        <v>267</v>
      </c>
      <c r="I168" s="2" t="s">
        <v>282</v>
      </c>
      <c r="J168" s="2" t="s">
        <v>268</v>
      </c>
    </row>
    <row r="169" spans="1:13" ht="15.75" x14ac:dyDescent="0.25">
      <c r="B169" s="22">
        <v>1</v>
      </c>
      <c r="C169" s="19" t="s">
        <v>286</v>
      </c>
      <c r="D169" t="s">
        <v>18</v>
      </c>
      <c r="E169" s="21" t="s">
        <v>361</v>
      </c>
      <c r="F169" t="s">
        <v>146</v>
      </c>
      <c r="G169" s="5">
        <v>4.6771222222222226</v>
      </c>
      <c r="H169" s="5">
        <v>74.129455555555552</v>
      </c>
      <c r="I169" s="8">
        <v>16393</v>
      </c>
      <c r="J169" s="7">
        <f>SQRT(($G$174-G169)^2+($H$174-H169)^2)</f>
        <v>9.305562111327402E-3</v>
      </c>
    </row>
    <row r="170" spans="1:13" ht="15.75" x14ac:dyDescent="0.25">
      <c r="B170" s="22">
        <v>2</v>
      </c>
      <c r="C170" s="19" t="s">
        <v>288</v>
      </c>
      <c r="D170" t="s">
        <v>18</v>
      </c>
      <c r="E170" s="21" t="s">
        <v>362</v>
      </c>
      <c r="F170" t="s">
        <v>146</v>
      </c>
      <c r="G170" s="5">
        <v>4.6693666666666669</v>
      </c>
      <c r="H170" s="5">
        <v>74.143805555555559</v>
      </c>
      <c r="I170" s="8">
        <v>16393</v>
      </c>
      <c r="J170" s="7">
        <f t="shared" ref="J170:J172" si="21">SQRT(($G$174-G170)^2+($H$174-H170)^2)</f>
        <v>7.0135174887866773E-3</v>
      </c>
    </row>
    <row r="171" spans="1:13" ht="15.75" x14ac:dyDescent="0.25">
      <c r="B171" s="22">
        <v>3</v>
      </c>
      <c r="C171" s="19" t="s">
        <v>289</v>
      </c>
      <c r="D171" t="s">
        <v>18</v>
      </c>
      <c r="E171" s="21" t="s">
        <v>363</v>
      </c>
      <c r="F171" t="s">
        <v>146</v>
      </c>
      <c r="G171" s="5">
        <v>4.696736111111111</v>
      </c>
      <c r="H171" s="5">
        <v>74.167294444444451</v>
      </c>
      <c r="I171" s="8">
        <v>16393</v>
      </c>
      <c r="J171" s="7">
        <f t="shared" si="21"/>
        <v>3.8397899661292749E-2</v>
      </c>
    </row>
    <row r="172" spans="1:13" ht="15.75" x14ac:dyDescent="0.25">
      <c r="B172" s="22">
        <v>4</v>
      </c>
      <c r="C172" s="19" t="s">
        <v>287</v>
      </c>
      <c r="D172" t="s">
        <v>18</v>
      </c>
      <c r="E172" s="21" t="s">
        <v>364</v>
      </c>
      <c r="F172" t="s">
        <v>146</v>
      </c>
      <c r="G172" s="5">
        <v>4.6467166666666664</v>
      </c>
      <c r="H172" s="5">
        <v>74.109538888888878</v>
      </c>
      <c r="I172" s="8">
        <v>16393</v>
      </c>
      <c r="J172" s="7">
        <f t="shared" si="21"/>
        <v>3.804172911972651E-2</v>
      </c>
    </row>
    <row r="173" spans="1:13" x14ac:dyDescent="0.25">
      <c r="G173">
        <f>SUMPRODUCT(G169:G172,I169:I172)</f>
        <v>306384.2137416667</v>
      </c>
      <c r="H173">
        <f>SUMPRODUCT(H169:H172,I169:I172)</f>
        <v>4861345.6982277781</v>
      </c>
      <c r="I173" s="10">
        <f>SUM(I169:I172)</f>
        <v>65572</v>
      </c>
    </row>
    <row r="174" spans="1:13" x14ac:dyDescent="0.25">
      <c r="F174" s="11" t="s">
        <v>374</v>
      </c>
      <c r="G174" s="12">
        <f>G173/I173</f>
        <v>4.6724854166666674</v>
      </c>
      <c r="H174" s="12">
        <f>H173/I173</f>
        <v>74.137523611111121</v>
      </c>
      <c r="I174" s="44" t="s">
        <v>272</v>
      </c>
      <c r="J174" s="44"/>
      <c r="K174" s="20" t="s">
        <v>267</v>
      </c>
      <c r="L174" s="45" t="s">
        <v>276</v>
      </c>
      <c r="M174" s="46"/>
    </row>
    <row r="175" spans="1:13" ht="15.75" x14ac:dyDescent="0.25">
      <c r="G175" s="14" t="s">
        <v>273</v>
      </c>
      <c r="H175" s="14" t="s">
        <v>274</v>
      </c>
      <c r="L175" s="7" t="s">
        <v>275</v>
      </c>
      <c r="M175" s="8">
        <f>SUMPRODUCT(I169:I172,J169:J172)</f>
        <v>1520.5935064919188</v>
      </c>
    </row>
    <row r="178" spans="1:13" ht="30" x14ac:dyDescent="0.25">
      <c r="A178">
        <v>10</v>
      </c>
      <c r="B178" s="17" t="s">
        <v>290</v>
      </c>
      <c r="C178" s="17" t="s">
        <v>285</v>
      </c>
      <c r="D178" s="17" t="s">
        <v>74</v>
      </c>
      <c r="E178" s="17" t="s">
        <v>63</v>
      </c>
      <c r="F178" s="17" t="s">
        <v>64</v>
      </c>
      <c r="G178" s="2" t="s">
        <v>266</v>
      </c>
      <c r="H178" s="2" t="s">
        <v>267</v>
      </c>
      <c r="I178" s="2" t="s">
        <v>282</v>
      </c>
      <c r="J178" s="2" t="s">
        <v>268</v>
      </c>
    </row>
    <row r="179" spans="1:13" ht="15.75" x14ac:dyDescent="0.25">
      <c r="B179" s="22">
        <v>1</v>
      </c>
      <c r="C179" s="19" t="s">
        <v>286</v>
      </c>
      <c r="D179" t="s">
        <v>2</v>
      </c>
      <c r="E179" s="21" t="s">
        <v>302</v>
      </c>
      <c r="F179" t="s">
        <v>215</v>
      </c>
      <c r="G179" s="5">
        <v>4.7192166666666671</v>
      </c>
      <c r="H179" s="5">
        <v>74.101202777777772</v>
      </c>
      <c r="I179" s="8">
        <v>16393</v>
      </c>
      <c r="J179" s="7">
        <f>SQRT(($G$184-G179)^2+($H$184-H179)^2)</f>
        <v>2.0686701781440581E-2</v>
      </c>
    </row>
    <row r="180" spans="1:13" ht="15.75" x14ac:dyDescent="0.25">
      <c r="B180" s="22">
        <v>2</v>
      </c>
      <c r="C180" s="19" t="s">
        <v>288</v>
      </c>
      <c r="D180" t="s">
        <v>2</v>
      </c>
      <c r="E180" s="21" t="s">
        <v>304</v>
      </c>
      <c r="F180" t="s">
        <v>215</v>
      </c>
      <c r="G180" s="5">
        <v>4.6786333333333339</v>
      </c>
      <c r="H180" s="5">
        <v>74.117341666666661</v>
      </c>
      <c r="I180" s="8">
        <v>16393</v>
      </c>
      <c r="J180" s="7">
        <f t="shared" ref="J180:J182" si="22">SQRT(($G$184-G180)^2+($H$184-H180)^2)</f>
        <v>2.3100554500884989E-2</v>
      </c>
    </row>
    <row r="181" spans="1:13" ht="15.75" x14ac:dyDescent="0.25">
      <c r="B181" s="22">
        <v>3</v>
      </c>
      <c r="C181" s="19" t="s">
        <v>289</v>
      </c>
      <c r="D181" t="s">
        <v>2</v>
      </c>
      <c r="E181" s="21" t="s">
        <v>310</v>
      </c>
      <c r="F181" t="s">
        <v>215</v>
      </c>
      <c r="G181" s="5">
        <v>4.7247305555555554</v>
      </c>
      <c r="H181" s="5">
        <v>74.136719444444452</v>
      </c>
      <c r="I181" s="8">
        <v>16393</v>
      </c>
      <c r="J181" s="7">
        <f t="shared" si="22"/>
        <v>3.5775529995928847E-2</v>
      </c>
    </row>
    <row r="182" spans="1:13" ht="15.75" x14ac:dyDescent="0.25">
      <c r="B182" s="22">
        <v>4</v>
      </c>
      <c r="C182" s="19" t="s">
        <v>287</v>
      </c>
      <c r="D182" t="s">
        <v>2</v>
      </c>
      <c r="E182" s="21" t="s">
        <v>303</v>
      </c>
      <c r="F182" t="s">
        <v>215</v>
      </c>
      <c r="G182" s="5">
        <v>4.6799333333333335</v>
      </c>
      <c r="H182" s="5">
        <v>74.0858611111111</v>
      </c>
      <c r="I182" s="8">
        <v>16393</v>
      </c>
      <c r="J182" s="7">
        <f t="shared" si="22"/>
        <v>3.2009872804863532E-2</v>
      </c>
    </row>
    <row r="183" spans="1:13" x14ac:dyDescent="0.25">
      <c r="G183">
        <f>SUMPRODUCT(G179:G182,I179:I182)</f>
        <v>308229.61018055555</v>
      </c>
      <c r="H183">
        <f>SUMPRODUCT(H179:H182,I179:I182)</f>
        <v>4859559.362125</v>
      </c>
      <c r="I183" s="10">
        <f>SUM(I179:I182)</f>
        <v>65572</v>
      </c>
    </row>
    <row r="184" spans="1:13" x14ac:dyDescent="0.25">
      <c r="F184" s="11" t="s">
        <v>281</v>
      </c>
      <c r="G184" s="12">
        <f>G183/I183</f>
        <v>4.7006284722222222</v>
      </c>
      <c r="H184" s="12">
        <f>H183/I183</f>
        <v>74.11028125</v>
      </c>
      <c r="I184" s="44" t="s">
        <v>272</v>
      </c>
      <c r="J184" s="44"/>
      <c r="K184" s="20" t="s">
        <v>267</v>
      </c>
      <c r="L184" s="45" t="s">
        <v>276</v>
      </c>
      <c r="M184" s="46"/>
    </row>
    <row r="185" spans="1:13" ht="15.75" x14ac:dyDescent="0.25">
      <c r="G185" s="14" t="s">
        <v>273</v>
      </c>
      <c r="H185" s="14" t="s">
        <v>274</v>
      </c>
      <c r="L185" s="7" t="s">
        <v>275</v>
      </c>
      <c r="M185" s="8">
        <f>SUMPRODUCT(I179:I182,J179:J182)</f>
        <v>1829.0106003495525</v>
      </c>
    </row>
    <row r="188" spans="1:13" ht="30" x14ac:dyDescent="0.25">
      <c r="A188">
        <v>11</v>
      </c>
      <c r="B188" s="17" t="s">
        <v>290</v>
      </c>
      <c r="C188" s="17" t="s">
        <v>285</v>
      </c>
      <c r="D188" s="17" t="s">
        <v>74</v>
      </c>
      <c r="E188" s="17" t="s">
        <v>63</v>
      </c>
      <c r="F188" s="17" t="s">
        <v>64</v>
      </c>
      <c r="G188" s="2" t="s">
        <v>266</v>
      </c>
      <c r="H188" s="2" t="s">
        <v>267</v>
      </c>
      <c r="I188" s="2" t="s">
        <v>282</v>
      </c>
      <c r="J188" s="2" t="s">
        <v>268</v>
      </c>
    </row>
    <row r="189" spans="1:13" ht="15.75" x14ac:dyDescent="0.25">
      <c r="B189" s="22">
        <v>1</v>
      </c>
      <c r="C189" s="19" t="s">
        <v>286</v>
      </c>
      <c r="D189" t="s">
        <v>3</v>
      </c>
      <c r="E189" s="21" t="s">
        <v>305</v>
      </c>
      <c r="F189" t="s">
        <v>215</v>
      </c>
      <c r="G189" s="5">
        <v>4.8182416666666663</v>
      </c>
      <c r="H189" s="5">
        <v>74.07290555555555</v>
      </c>
      <c r="I189" s="8">
        <v>16393</v>
      </c>
      <c r="J189" s="7">
        <f>SQRT(($G$194-G189)^2+($H$194-H189)^2)</f>
        <v>6.7958951436460621E-2</v>
      </c>
    </row>
    <row r="190" spans="1:13" ht="15.75" x14ac:dyDescent="0.25">
      <c r="B190" s="22">
        <v>2</v>
      </c>
      <c r="C190" s="19" t="s">
        <v>288</v>
      </c>
      <c r="D190" t="s">
        <v>3</v>
      </c>
      <c r="E190" s="21" t="s">
        <v>306</v>
      </c>
      <c r="F190" t="s">
        <v>215</v>
      </c>
      <c r="G190" s="5">
        <v>4.6918666666666669</v>
      </c>
      <c r="H190" s="5">
        <v>74.074622222222217</v>
      </c>
      <c r="I190" s="8">
        <v>16393</v>
      </c>
      <c r="J190" s="7">
        <f>SQRT(($G$194-G190)^2+($H$194-H190)^2)</f>
        <v>5.8669860880299018E-2</v>
      </c>
    </row>
    <row r="191" spans="1:13" ht="15.75" x14ac:dyDescent="0.25">
      <c r="B191" s="22">
        <v>3</v>
      </c>
      <c r="C191" s="19" t="s">
        <v>289</v>
      </c>
      <c r="D191" t="s">
        <v>3</v>
      </c>
      <c r="E191" s="21" t="s">
        <v>308</v>
      </c>
      <c r="F191" t="s">
        <v>215</v>
      </c>
      <c r="G191" s="5">
        <v>4.7556194444444442</v>
      </c>
      <c r="H191" s="5">
        <v>74.113494444444441</v>
      </c>
      <c r="I191" s="8">
        <v>16393</v>
      </c>
      <c r="J191" s="7">
        <f>SQRT(($G$194-G191)^2+($H$194-H191)^2)</f>
        <v>3.61356543531383E-2</v>
      </c>
    </row>
    <row r="192" spans="1:13" ht="15.75" x14ac:dyDescent="0.25">
      <c r="B192" s="22">
        <v>4</v>
      </c>
      <c r="C192" s="19" t="s">
        <v>287</v>
      </c>
      <c r="D192" t="s">
        <v>3</v>
      </c>
      <c r="E192" s="21" t="s">
        <v>307</v>
      </c>
      <c r="F192" t="s">
        <v>215</v>
      </c>
      <c r="G192" s="5">
        <v>4.7360888888888892</v>
      </c>
      <c r="H192" s="5">
        <v>74.049897222222214</v>
      </c>
      <c r="I192" s="8">
        <v>16393</v>
      </c>
      <c r="J192" s="7">
        <f>SQRT(($G$194-G192)^2+($H$194-H192)^2)</f>
        <v>3.1321190800344428E-2</v>
      </c>
    </row>
    <row r="193" spans="1:13" x14ac:dyDescent="0.25">
      <c r="G193">
        <f>SUMPRODUCT(G189:G192,I189:I192)</f>
        <v>311496.78061666666</v>
      </c>
      <c r="H193">
        <f>SUMPRODUCT(H189:H192,I189:I192)</f>
        <v>4857424.9024527771</v>
      </c>
      <c r="I193" s="10">
        <f>SUM(I189:I192)</f>
        <v>65572</v>
      </c>
    </row>
    <row r="194" spans="1:13" x14ac:dyDescent="0.25">
      <c r="F194" s="11" t="s">
        <v>375</v>
      </c>
      <c r="G194" s="12">
        <f>G193/I193</f>
        <v>4.7504541666666666</v>
      </c>
      <c r="H194" s="12">
        <f>H193/I193</f>
        <v>74.077729861111095</v>
      </c>
      <c r="I194" s="44" t="s">
        <v>272</v>
      </c>
      <c r="J194" s="44"/>
      <c r="K194" s="20" t="s">
        <v>267</v>
      </c>
      <c r="L194" s="45" t="s">
        <v>276</v>
      </c>
      <c r="M194" s="46"/>
    </row>
    <row r="195" spans="1:13" ht="15.75" x14ac:dyDescent="0.25">
      <c r="G195" s="14" t="s">
        <v>273</v>
      </c>
      <c r="H195" s="14" t="s">
        <v>274</v>
      </c>
      <c r="L195" s="7" t="s">
        <v>275</v>
      </c>
      <c r="M195" s="8">
        <f>SUMPRODUCT(I189:I192,J189:J192)</f>
        <v>3181.6461829096834</v>
      </c>
    </row>
    <row r="198" spans="1:13" ht="30" x14ac:dyDescent="0.25">
      <c r="A198">
        <v>12</v>
      </c>
      <c r="B198" s="17" t="s">
        <v>290</v>
      </c>
      <c r="C198" s="17" t="s">
        <v>285</v>
      </c>
      <c r="D198" s="17" t="s">
        <v>74</v>
      </c>
      <c r="E198" s="17" t="s">
        <v>63</v>
      </c>
      <c r="F198" s="17" t="s">
        <v>64</v>
      </c>
      <c r="G198" s="2" t="s">
        <v>266</v>
      </c>
      <c r="H198" s="2" t="s">
        <v>267</v>
      </c>
      <c r="I198" s="2" t="s">
        <v>282</v>
      </c>
      <c r="J198" s="2" t="s">
        <v>268</v>
      </c>
    </row>
    <row r="199" spans="1:13" ht="15.75" x14ac:dyDescent="0.25">
      <c r="B199" s="22">
        <v>1</v>
      </c>
      <c r="C199" s="19" t="s">
        <v>286</v>
      </c>
      <c r="D199" t="s">
        <v>4</v>
      </c>
      <c r="E199" s="21" t="s">
        <v>299</v>
      </c>
      <c r="F199" t="s">
        <v>215</v>
      </c>
      <c r="G199" s="5">
        <v>4.6882527777777776</v>
      </c>
      <c r="H199" s="5">
        <v>74.064411111111113</v>
      </c>
      <c r="I199" s="8">
        <v>16393</v>
      </c>
      <c r="J199" s="7">
        <f>SQRT(($G$204-G199)^2+($H$204-H199)^2)</f>
        <v>1.8294436905297612E-2</v>
      </c>
    </row>
    <row r="200" spans="1:13" ht="15.75" x14ac:dyDescent="0.25">
      <c r="B200" s="22">
        <v>2</v>
      </c>
      <c r="C200" s="19" t="s">
        <v>288</v>
      </c>
      <c r="D200" t="s">
        <v>4</v>
      </c>
      <c r="E200" s="21" t="s">
        <v>300</v>
      </c>
      <c r="F200" t="s">
        <v>215</v>
      </c>
      <c r="G200" s="5">
        <v>4.6593722222222222</v>
      </c>
      <c r="H200" s="5">
        <v>74.085452777777775</v>
      </c>
      <c r="I200" s="8">
        <v>16393</v>
      </c>
      <c r="J200" s="7">
        <f t="shared" ref="J200:J201" si="23">SQRT(($G$204-G200)^2+($H$204-H200)^2)</f>
        <v>1.7667788934046705E-2</v>
      </c>
    </row>
    <row r="201" spans="1:13" ht="15.75" x14ac:dyDescent="0.25">
      <c r="B201" s="22">
        <v>3</v>
      </c>
      <c r="C201" s="19" t="s">
        <v>289</v>
      </c>
      <c r="D201" t="s">
        <v>4</v>
      </c>
      <c r="E201" s="21" t="s">
        <v>301</v>
      </c>
      <c r="F201" t="s">
        <v>215</v>
      </c>
      <c r="G201" s="5">
        <v>4.6803972222222221</v>
      </c>
      <c r="H201" s="5">
        <v>74.082141666666658</v>
      </c>
      <c r="I201" s="8">
        <v>16393</v>
      </c>
      <c r="J201" s="7">
        <f t="shared" si="23"/>
        <v>1.1814116585443218E-2</v>
      </c>
    </row>
    <row r="202" spans="1:13" ht="15.75" x14ac:dyDescent="0.25">
      <c r="B202" s="22">
        <v>4</v>
      </c>
      <c r="C202" s="19" t="s">
        <v>287</v>
      </c>
      <c r="D202" t="s">
        <v>4</v>
      </c>
      <c r="E202" s="21" t="s">
        <v>309</v>
      </c>
      <c r="F202" t="s">
        <v>215</v>
      </c>
      <c r="G202" s="5">
        <v>4.661433333333334</v>
      </c>
      <c r="H202" s="5">
        <v>74.061911111111115</v>
      </c>
      <c r="I202" s="8">
        <v>16393</v>
      </c>
      <c r="J202" s="7">
        <f>SQRT(($G$204-G202)^2+($H$204-H202)^2)</f>
        <v>1.5915305654909381E-2</v>
      </c>
    </row>
    <row r="203" spans="1:13" x14ac:dyDescent="0.25">
      <c r="G203">
        <f>SUMPRODUCT(G199:G202,I199:I202)</f>
        <v>306376.24492222222</v>
      </c>
      <c r="H203">
        <f>SUMPRODUCT(H199:H202,I199:I202)</f>
        <v>4857146.1759166662</v>
      </c>
      <c r="I203" s="10">
        <f>SUM(I199:I202)</f>
        <v>65572</v>
      </c>
    </row>
    <row r="204" spans="1:13" x14ac:dyDescent="0.25">
      <c r="F204" s="11" t="s">
        <v>376</v>
      </c>
      <c r="G204" s="12">
        <f>G203/I203</f>
        <v>4.6723638888888885</v>
      </c>
      <c r="H204" s="12">
        <f>H203/I203</f>
        <v>74.073479166666658</v>
      </c>
      <c r="I204" s="44" t="s">
        <v>272</v>
      </c>
      <c r="J204" s="44"/>
      <c r="K204" s="20" t="s">
        <v>267</v>
      </c>
      <c r="L204" s="45" t="s">
        <v>276</v>
      </c>
      <c r="M204" s="46"/>
    </row>
    <row r="205" spans="1:13" ht="15.75" x14ac:dyDescent="0.25">
      <c r="G205" s="14" t="s">
        <v>273</v>
      </c>
      <c r="H205" s="14" t="s">
        <v>274</v>
      </c>
      <c r="L205" s="7" t="s">
        <v>275</v>
      </c>
      <c r="M205" s="8">
        <f>SUMPRODUCT(I199:I202,J199:J202)</f>
        <v>1044.0971869704713</v>
      </c>
    </row>
    <row r="208" spans="1:13" ht="30" x14ac:dyDescent="0.25">
      <c r="A208">
        <v>13</v>
      </c>
      <c r="B208" s="17" t="s">
        <v>290</v>
      </c>
      <c r="C208" s="17" t="s">
        <v>285</v>
      </c>
      <c r="D208" s="17" t="s">
        <v>74</v>
      </c>
      <c r="E208" s="17" t="s">
        <v>63</v>
      </c>
      <c r="F208" s="17" t="s">
        <v>64</v>
      </c>
      <c r="G208" s="2" t="s">
        <v>266</v>
      </c>
      <c r="H208" s="2" t="s">
        <v>267</v>
      </c>
      <c r="I208" s="2" t="s">
        <v>282</v>
      </c>
      <c r="J208" s="2" t="s">
        <v>268</v>
      </c>
    </row>
    <row r="209" spans="1:13" ht="15.75" x14ac:dyDescent="0.25">
      <c r="B209" s="22">
        <v>1</v>
      </c>
      <c r="C209" s="19" t="s">
        <v>286</v>
      </c>
      <c r="D209" t="s">
        <v>5</v>
      </c>
      <c r="E209" t="s">
        <v>312</v>
      </c>
      <c r="F209" t="s">
        <v>215</v>
      </c>
      <c r="G209" s="5">
        <v>4.6498999999999997</v>
      </c>
      <c r="H209" s="5">
        <v>74.082124999999991</v>
      </c>
      <c r="I209" s="8">
        <v>16393</v>
      </c>
      <c r="J209" s="7">
        <f>SQRT(($G$214-G209)^2+($H$214-H209)^2)</f>
        <v>8.9682177649958832E-3</v>
      </c>
    </row>
    <row r="210" spans="1:13" ht="15.75" x14ac:dyDescent="0.25">
      <c r="B210" s="22">
        <v>2</v>
      </c>
      <c r="C210" s="19" t="s">
        <v>288</v>
      </c>
      <c r="D210" t="s">
        <v>5</v>
      </c>
      <c r="E210" s="21" t="s">
        <v>311</v>
      </c>
      <c r="F210" t="s">
        <v>215</v>
      </c>
      <c r="G210" s="5">
        <v>4.6287805555555561</v>
      </c>
      <c r="H210" s="5">
        <v>74.090599999999995</v>
      </c>
      <c r="I210" s="8">
        <v>16393</v>
      </c>
      <c r="J210" s="7">
        <f t="shared" ref="J210:J212" si="24">SQRT(($G$214-G210)^2+($H$214-H210)^2)</f>
        <v>1.3788265724935495E-2</v>
      </c>
    </row>
    <row r="211" spans="1:13" ht="15.75" x14ac:dyDescent="0.25">
      <c r="B211" s="22">
        <v>3</v>
      </c>
      <c r="C211" s="19" t="s">
        <v>289</v>
      </c>
      <c r="D211" t="s">
        <v>5</v>
      </c>
      <c r="E211" s="21" t="s">
        <v>314</v>
      </c>
      <c r="F211" t="s">
        <v>215</v>
      </c>
      <c r="G211" s="5">
        <v>4.6526138888888893</v>
      </c>
      <c r="H211" s="5">
        <v>74.101724999999988</v>
      </c>
      <c r="I211" s="8">
        <v>16393</v>
      </c>
      <c r="J211" s="7">
        <f t="shared" si="24"/>
        <v>1.9637096966119823E-2</v>
      </c>
    </row>
    <row r="212" spans="1:13" ht="15.75" x14ac:dyDescent="0.25">
      <c r="B212" s="22">
        <v>4</v>
      </c>
      <c r="C212" s="19" t="s">
        <v>287</v>
      </c>
      <c r="D212" t="s">
        <v>5</v>
      </c>
      <c r="E212" s="21" t="s">
        <v>313</v>
      </c>
      <c r="F212" t="s">
        <v>215</v>
      </c>
      <c r="G212" s="5">
        <v>4.6350361111111109</v>
      </c>
      <c r="H212" s="5">
        <v>74.067466666666661</v>
      </c>
      <c r="I212" s="8">
        <v>16393</v>
      </c>
      <c r="J212" s="7">
        <f t="shared" si="24"/>
        <v>1.9165259773745391E-2</v>
      </c>
    </row>
    <row r="213" spans="1:13" x14ac:dyDescent="0.25">
      <c r="G213">
        <f>SUMPRODUCT(G209:G212,I209:I212)</f>
        <v>304357.85679722228</v>
      </c>
      <c r="H213">
        <f>SUMPRODUCT(H209:H212,I209:I212)</f>
        <v>4857933.0399166662</v>
      </c>
      <c r="I213" s="10">
        <f>SUM(I209:I212)</f>
        <v>65572</v>
      </c>
    </row>
    <row r="214" spans="1:13" x14ac:dyDescent="0.25">
      <c r="F214" s="11" t="s">
        <v>377</v>
      </c>
      <c r="G214" s="12">
        <f>G213/I213</f>
        <v>4.6415826388888899</v>
      </c>
      <c r="H214" s="12">
        <f>H213/I213</f>
        <v>74.085479166666659</v>
      </c>
      <c r="I214" s="44" t="s">
        <v>272</v>
      </c>
      <c r="J214" s="44"/>
      <c r="K214" s="20" t="s">
        <v>267</v>
      </c>
      <c r="L214" s="45" t="s">
        <v>276</v>
      </c>
      <c r="M214" s="46"/>
    </row>
    <row r="215" spans="1:13" ht="15.75" x14ac:dyDescent="0.25">
      <c r="G215" s="14" t="s">
        <v>273</v>
      </c>
      <c r="H215" s="14" t="s">
        <v>274</v>
      </c>
      <c r="L215" s="7" t="s">
        <v>275</v>
      </c>
      <c r="M215" s="8">
        <f>SUMPRODUCT(I209:I212,J209:J212)</f>
        <v>1009.1340678870556</v>
      </c>
    </row>
    <row r="218" spans="1:13" ht="30" x14ac:dyDescent="0.25">
      <c r="A218">
        <v>14</v>
      </c>
      <c r="B218" s="17" t="s">
        <v>290</v>
      </c>
      <c r="C218" s="17" t="s">
        <v>285</v>
      </c>
      <c r="D218" s="17" t="s">
        <v>74</v>
      </c>
      <c r="E218" s="17" t="s">
        <v>63</v>
      </c>
      <c r="F218" s="17" t="s">
        <v>64</v>
      </c>
      <c r="G218" s="2" t="s">
        <v>266</v>
      </c>
      <c r="H218" s="2" t="s">
        <v>267</v>
      </c>
      <c r="I218" s="2" t="s">
        <v>282</v>
      </c>
      <c r="J218" s="2" t="s">
        <v>268</v>
      </c>
    </row>
    <row r="219" spans="1:13" ht="15.75" x14ac:dyDescent="0.25">
      <c r="B219" s="22">
        <v>1</v>
      </c>
      <c r="C219" s="19" t="s">
        <v>286</v>
      </c>
      <c r="D219" t="s">
        <v>246</v>
      </c>
      <c r="E219" s="21" t="s">
        <v>327</v>
      </c>
      <c r="F219" t="s">
        <v>61</v>
      </c>
      <c r="G219" s="5">
        <v>4.6192944444444448</v>
      </c>
      <c r="H219" s="5">
        <v>74.076136111111111</v>
      </c>
      <c r="I219" s="8">
        <v>16393</v>
      </c>
      <c r="J219" s="7">
        <f>SQRT(($G$224-G219)^2+($H$224-H219)^2)</f>
        <v>1.6458043788475471E-2</v>
      </c>
    </row>
    <row r="220" spans="1:13" ht="15.75" x14ac:dyDescent="0.25">
      <c r="B220" s="22">
        <v>2</v>
      </c>
      <c r="C220" s="19" t="s">
        <v>288</v>
      </c>
      <c r="D220" t="s">
        <v>246</v>
      </c>
      <c r="E220" s="21" t="s">
        <v>328</v>
      </c>
      <c r="F220" t="s">
        <v>61</v>
      </c>
      <c r="G220" s="5">
        <v>4.5957138888888887</v>
      </c>
      <c r="H220" s="5">
        <v>74.096161111111101</v>
      </c>
      <c r="I220" s="8">
        <v>16393</v>
      </c>
      <c r="J220" s="7">
        <f t="shared" ref="J220:J222" si="25">SQRT(($G$224-G220)^2+($H$224-H220)^2)</f>
        <v>1.4482145859898481E-2</v>
      </c>
    </row>
    <row r="221" spans="1:13" ht="15.75" x14ac:dyDescent="0.25">
      <c r="B221" s="22">
        <v>3</v>
      </c>
      <c r="C221" s="19" t="s">
        <v>289</v>
      </c>
      <c r="D221" t="s">
        <v>246</v>
      </c>
      <c r="E221" s="21" t="s">
        <v>329</v>
      </c>
      <c r="F221" t="s">
        <v>61</v>
      </c>
      <c r="G221" s="5">
        <v>4.6093722222222215</v>
      </c>
      <c r="H221" s="5">
        <v>74.094616666666667</v>
      </c>
      <c r="I221" s="8">
        <v>16393</v>
      </c>
      <c r="J221" s="7">
        <f t="shared" si="25"/>
        <v>8.0236041690692241E-3</v>
      </c>
    </row>
    <row r="222" spans="1:13" ht="15.75" x14ac:dyDescent="0.25">
      <c r="B222" s="22">
        <v>4</v>
      </c>
      <c r="C222" s="19" t="s">
        <v>287</v>
      </c>
      <c r="D222" t="s">
        <v>246</v>
      </c>
      <c r="E222" s="21" t="s">
        <v>330</v>
      </c>
      <c r="F222" t="s">
        <v>61</v>
      </c>
      <c r="G222" s="5">
        <v>4.6032722222222215</v>
      </c>
      <c r="H222" s="5">
        <v>74.081002777777769</v>
      </c>
      <c r="I222" s="8">
        <v>16393</v>
      </c>
      <c r="J222" s="7">
        <f t="shared" si="25"/>
        <v>6.998135671328262E-3</v>
      </c>
    </row>
    <row r="223" spans="1:13" x14ac:dyDescent="0.25">
      <c r="G223">
        <f>SUMPRODUCT(G219:G222,I219:I222)</f>
        <v>302084.51198611106</v>
      </c>
      <c r="H223">
        <f>SUMPRODUCT(H219:H222,I219:I222)</f>
        <v>4858031.3979166662</v>
      </c>
      <c r="I223" s="10">
        <f>SUM(I219:I222)</f>
        <v>65572</v>
      </c>
    </row>
    <row r="224" spans="1:13" x14ac:dyDescent="0.25">
      <c r="F224" s="11" t="s">
        <v>378</v>
      </c>
      <c r="G224" s="12">
        <f>G223/I223</f>
        <v>4.6069131944444432</v>
      </c>
      <c r="H224" s="12">
        <f>H223/I223</f>
        <v>74.086979166666666</v>
      </c>
      <c r="I224" s="44" t="s">
        <v>272</v>
      </c>
      <c r="J224" s="44"/>
      <c r="K224" s="20" t="s">
        <v>267</v>
      </c>
      <c r="L224" s="45" t="s">
        <v>276</v>
      </c>
      <c r="M224" s="46"/>
    </row>
    <row r="225" spans="1:13" ht="15.75" x14ac:dyDescent="0.25">
      <c r="G225" s="14" t="s">
        <v>273</v>
      </c>
      <c r="H225" s="14" t="s">
        <v>274</v>
      </c>
      <c r="L225" s="7" t="s">
        <v>275</v>
      </c>
      <c r="M225" s="8">
        <f>SUMPRODUCT(I219:I222,J219:J222)</f>
        <v>753.45391010943024</v>
      </c>
    </row>
    <row r="228" spans="1:13" ht="30" x14ac:dyDescent="0.25">
      <c r="A228">
        <v>15</v>
      </c>
      <c r="B228" s="17" t="s">
        <v>290</v>
      </c>
      <c r="C228" s="17" t="s">
        <v>285</v>
      </c>
      <c r="D228" s="17" t="s">
        <v>74</v>
      </c>
      <c r="E228" s="17" t="s">
        <v>63</v>
      </c>
      <c r="F228" s="17" t="s">
        <v>64</v>
      </c>
      <c r="G228" s="2" t="s">
        <v>266</v>
      </c>
      <c r="H228" s="2" t="s">
        <v>267</v>
      </c>
      <c r="I228" s="2" t="s">
        <v>282</v>
      </c>
      <c r="J228" s="2" t="s">
        <v>268</v>
      </c>
    </row>
    <row r="229" spans="1:13" ht="15.75" x14ac:dyDescent="0.25">
      <c r="B229" s="22">
        <v>1</v>
      </c>
      <c r="C229" s="19" t="s">
        <v>286</v>
      </c>
      <c r="D229" t="s">
        <v>6</v>
      </c>
      <c r="E229" s="21" t="s">
        <v>370</v>
      </c>
      <c r="F229" t="s">
        <v>61</v>
      </c>
      <c r="G229" s="5">
        <v>4.5930388888888887</v>
      </c>
      <c r="H229" s="5">
        <v>74.09696388888888</v>
      </c>
      <c r="I229" s="8">
        <v>16393</v>
      </c>
      <c r="J229" s="7">
        <f>SQRT(($G$234-G229)^2+($H$234-H229)^2)</f>
        <v>9.6342474265645409E-3</v>
      </c>
    </row>
    <row r="230" spans="1:13" ht="15.75" x14ac:dyDescent="0.25">
      <c r="B230" s="22">
        <v>2</v>
      </c>
      <c r="C230" s="19" t="s">
        <v>288</v>
      </c>
      <c r="D230" t="s">
        <v>6</v>
      </c>
      <c r="E230" s="21" t="s">
        <v>331</v>
      </c>
      <c r="F230" t="s">
        <v>61</v>
      </c>
      <c r="G230" s="5">
        <v>4.5927444444444445</v>
      </c>
      <c r="H230" s="5">
        <v>74.127344444444432</v>
      </c>
      <c r="I230" s="8">
        <v>16393</v>
      </c>
      <c r="J230" s="7">
        <f t="shared" ref="J230:J232" si="26">SQRT(($G$234-G230)^2+($H$234-H230)^2)</f>
        <v>2.1308520466311005E-2</v>
      </c>
    </row>
    <row r="231" spans="1:13" ht="15.75" x14ac:dyDescent="0.25">
      <c r="B231" s="22">
        <v>3</v>
      </c>
      <c r="C231" s="19" t="s">
        <v>289</v>
      </c>
      <c r="D231" t="s">
        <v>6</v>
      </c>
      <c r="E231" s="21" t="s">
        <v>333</v>
      </c>
      <c r="F231" t="s">
        <v>61</v>
      </c>
      <c r="G231" s="5">
        <v>4.5964694444444438</v>
      </c>
      <c r="H231" s="5">
        <v>74.107716666666661</v>
      </c>
      <c r="I231" s="8">
        <v>16393</v>
      </c>
      <c r="J231" s="7">
        <f t="shared" si="26"/>
        <v>6.4130864606184619E-3</v>
      </c>
    </row>
    <row r="232" spans="1:13" ht="15.75" x14ac:dyDescent="0.25">
      <c r="B232" s="22">
        <v>4</v>
      </c>
      <c r="C232" s="19" t="s">
        <v>287</v>
      </c>
      <c r="D232" t="s">
        <v>6</v>
      </c>
      <c r="E232" s="21" t="s">
        <v>332</v>
      </c>
      <c r="F232" t="s">
        <v>61</v>
      </c>
      <c r="G232" s="5">
        <v>4.5787166666666668</v>
      </c>
      <c r="H232" s="5">
        <v>74.092708333333334</v>
      </c>
      <c r="I232" s="8">
        <v>16393</v>
      </c>
      <c r="J232" s="7">
        <f t="shared" si="26"/>
        <v>1.7731814837367261E-2</v>
      </c>
    </row>
    <row r="233" spans="1:13" x14ac:dyDescent="0.25">
      <c r="G233">
        <f>SUMPRODUCT(G229:G232,I229:I232)</f>
        <v>300991.37210277776</v>
      </c>
      <c r="H233">
        <f>SUMPRODUCT(H229:H232,I229:I232)</f>
        <v>4859290.653533333</v>
      </c>
      <c r="I233" s="10">
        <f>SUM(I229:I232)</f>
        <v>65572</v>
      </c>
    </row>
    <row r="234" spans="1:13" x14ac:dyDescent="0.25">
      <c r="F234" s="11" t="s">
        <v>379</v>
      </c>
      <c r="G234" s="12">
        <f>G233/I233</f>
        <v>4.5902423611111107</v>
      </c>
      <c r="H234" s="12">
        <f>H233/I233</f>
        <v>74.106183333333334</v>
      </c>
      <c r="I234" s="44" t="s">
        <v>272</v>
      </c>
      <c r="J234" s="44"/>
      <c r="K234" s="20" t="s">
        <v>267</v>
      </c>
      <c r="L234" s="45" t="s">
        <v>276</v>
      </c>
      <c r="M234" s="46"/>
    </row>
    <row r="235" spans="1:13" ht="15.75" x14ac:dyDescent="0.25">
      <c r="G235" s="14" t="s">
        <v>273</v>
      </c>
      <c r="H235" s="14" t="s">
        <v>274</v>
      </c>
      <c r="L235" s="7" t="s">
        <v>275</v>
      </c>
      <c r="M235" s="8">
        <f>SUMPRODUCT(I229:I232,J229:J232)</f>
        <v>903.05216104578881</v>
      </c>
    </row>
    <row r="238" spans="1:13" ht="30" x14ac:dyDescent="0.25">
      <c r="A238">
        <v>16</v>
      </c>
      <c r="B238" s="17" t="s">
        <v>290</v>
      </c>
      <c r="C238" s="17" t="s">
        <v>285</v>
      </c>
      <c r="D238" s="17" t="s">
        <v>74</v>
      </c>
      <c r="E238" s="17" t="s">
        <v>63</v>
      </c>
      <c r="F238" s="17" t="s">
        <v>64</v>
      </c>
      <c r="G238" s="2" t="s">
        <v>266</v>
      </c>
      <c r="H238" s="2" t="s">
        <v>267</v>
      </c>
      <c r="I238" s="2" t="s">
        <v>282</v>
      </c>
      <c r="J238" s="2" t="s">
        <v>268</v>
      </c>
    </row>
    <row r="239" spans="1:13" ht="15.75" x14ac:dyDescent="0.25">
      <c r="B239" s="22">
        <v>1</v>
      </c>
      <c r="C239" s="19" t="s">
        <v>286</v>
      </c>
      <c r="D239" t="s">
        <v>7</v>
      </c>
      <c r="E239" s="21" t="s">
        <v>365</v>
      </c>
      <c r="F239" t="s">
        <v>146</v>
      </c>
      <c r="G239" s="5">
        <v>4.6259027777777781</v>
      </c>
      <c r="H239" s="5">
        <v>74.085747222222224</v>
      </c>
      <c r="I239" s="8">
        <v>16393</v>
      </c>
      <c r="J239" s="7">
        <f>SQRT(($G$244-G239)^2+($H$244-H239)^2)</f>
        <v>2.3906985474439601E-2</v>
      </c>
    </row>
    <row r="240" spans="1:13" ht="15.75" x14ac:dyDescent="0.25">
      <c r="B240" s="22">
        <v>2</v>
      </c>
      <c r="C240" s="19" t="s">
        <v>288</v>
      </c>
      <c r="D240" t="s">
        <v>7</v>
      </c>
      <c r="E240" s="21" t="s">
        <v>366</v>
      </c>
      <c r="F240" t="s">
        <v>146</v>
      </c>
      <c r="G240" s="5">
        <v>4.5966083333333332</v>
      </c>
      <c r="H240" s="5">
        <v>74.134241666666668</v>
      </c>
      <c r="I240" s="8">
        <v>16393</v>
      </c>
      <c r="J240" s="7">
        <f t="shared" ref="J240:J241" si="27">SQRT(($G$244-G240)^2+($H$244-H240)^2)</f>
        <v>3.3290946256057614E-2</v>
      </c>
    </row>
    <row r="241" spans="1:13" ht="15.75" x14ac:dyDescent="0.25">
      <c r="B241" s="22">
        <v>3</v>
      </c>
      <c r="C241" s="19" t="s">
        <v>289</v>
      </c>
      <c r="D241" t="s">
        <v>7</v>
      </c>
      <c r="E241" s="21" t="s">
        <v>367</v>
      </c>
      <c r="F241" t="s">
        <v>146</v>
      </c>
      <c r="G241" s="5">
        <v>4.6340111111111106</v>
      </c>
      <c r="H241" s="5">
        <v>74.116983333333323</v>
      </c>
      <c r="I241" s="8">
        <v>16393</v>
      </c>
      <c r="J241" s="7">
        <f t="shared" si="27"/>
        <v>1.9245679028428782E-2</v>
      </c>
    </row>
    <row r="242" spans="1:13" ht="15.75" x14ac:dyDescent="0.25">
      <c r="B242" s="22">
        <v>4</v>
      </c>
      <c r="C242" s="19" t="s">
        <v>287</v>
      </c>
      <c r="D242" t="s">
        <v>7</v>
      </c>
      <c r="E242" s="21" t="s">
        <v>368</v>
      </c>
      <c r="F242" t="s">
        <v>146</v>
      </c>
      <c r="G242" s="5">
        <v>4.6115611111111106</v>
      </c>
      <c r="H242" s="5">
        <v>74.094799999999992</v>
      </c>
      <c r="I242" s="8">
        <v>16393</v>
      </c>
      <c r="J242" s="7">
        <f>SQRT(($G$244-G242)^2+($H$244-H242)^2)</f>
        <v>1.423195264467801E-2</v>
      </c>
    </row>
    <row r="243" spans="1:13" x14ac:dyDescent="0.25">
      <c r="G243">
        <f>SUMPRODUCT(G239:G242,I239:I242)</f>
        <v>302747.29008333333</v>
      </c>
      <c r="H243">
        <f>SUMPRODUCT(H239:H242,I239:I242)</f>
        <v>4859406.0420388887</v>
      </c>
      <c r="I243" s="10">
        <f>SUM(I239:I242)</f>
        <v>65572</v>
      </c>
    </row>
    <row r="244" spans="1:13" x14ac:dyDescent="0.25">
      <c r="F244" s="11" t="s">
        <v>380</v>
      </c>
      <c r="G244" s="12">
        <f>G243/I243</f>
        <v>4.6170208333333331</v>
      </c>
      <c r="H244" s="12">
        <f>H243/I243</f>
        <v>74.107943055555552</v>
      </c>
      <c r="I244" s="44" t="s">
        <v>272</v>
      </c>
      <c r="J244" s="44"/>
      <c r="K244" s="20" t="s">
        <v>267</v>
      </c>
      <c r="L244" s="45" t="s">
        <v>276</v>
      </c>
      <c r="M244" s="46"/>
    </row>
    <row r="245" spans="1:13" ht="15.75" x14ac:dyDescent="0.25">
      <c r="G245" s="14" t="s">
        <v>273</v>
      </c>
      <c r="H245" s="14" t="s">
        <v>274</v>
      </c>
      <c r="L245" s="7" t="s">
        <v>275</v>
      </c>
      <c r="M245" s="8">
        <f>SUMPRODUCT(I239:I242,J239:J242)</f>
        <v>1486.4445108752805</v>
      </c>
    </row>
    <row r="248" spans="1:13" ht="30" x14ac:dyDescent="0.25">
      <c r="A248">
        <v>17</v>
      </c>
      <c r="B248" s="17" t="s">
        <v>290</v>
      </c>
      <c r="C248" s="17" t="s">
        <v>285</v>
      </c>
      <c r="D248" s="17" t="s">
        <v>74</v>
      </c>
      <c r="E248" s="17" t="s">
        <v>63</v>
      </c>
      <c r="F248" s="17" t="s">
        <v>64</v>
      </c>
      <c r="G248" s="2" t="s">
        <v>266</v>
      </c>
      <c r="H248" s="2" t="s">
        <v>267</v>
      </c>
      <c r="I248" s="2" t="s">
        <v>282</v>
      </c>
      <c r="J248" s="2" t="s">
        <v>268</v>
      </c>
    </row>
    <row r="249" spans="1:13" ht="15.75" x14ac:dyDescent="0.25">
      <c r="B249" s="22">
        <v>1</v>
      </c>
      <c r="C249" s="19" t="s">
        <v>286</v>
      </c>
      <c r="D249" t="s">
        <v>8</v>
      </c>
      <c r="E249" s="21" t="s">
        <v>319</v>
      </c>
      <c r="F249" t="s">
        <v>61</v>
      </c>
      <c r="G249" s="5">
        <v>4.6024527777777777</v>
      </c>
      <c r="H249" s="5">
        <v>74.063002777777768</v>
      </c>
      <c r="I249" s="8">
        <v>16393</v>
      </c>
      <c r="J249" s="7">
        <f>SQRT(($G$254-G249)^2+($H$254-H249)^2)</f>
        <v>1.0449602929730354E-2</v>
      </c>
    </row>
    <row r="250" spans="1:13" ht="15.75" x14ac:dyDescent="0.25">
      <c r="B250" s="22">
        <v>2</v>
      </c>
      <c r="C250" s="19" t="s">
        <v>288</v>
      </c>
      <c r="D250" t="s">
        <v>8</v>
      </c>
      <c r="E250" s="21" t="s">
        <v>320</v>
      </c>
      <c r="F250" t="s">
        <v>61</v>
      </c>
      <c r="G250" s="5">
        <v>4.5927361111111109</v>
      </c>
      <c r="H250" s="5">
        <v>74.078400000000002</v>
      </c>
      <c r="I250" s="8">
        <v>16393</v>
      </c>
      <c r="J250" s="7">
        <f t="shared" ref="J250:J251" si="28">SQRT(($G$254-G250)^2+($H$254-H250)^2)</f>
        <v>7.7876636082560109E-3</v>
      </c>
    </row>
    <row r="251" spans="1:13" ht="15.75" x14ac:dyDescent="0.25">
      <c r="B251" s="22">
        <v>3</v>
      </c>
      <c r="C251" s="19" t="s">
        <v>289</v>
      </c>
      <c r="D251" t="s">
        <v>8</v>
      </c>
      <c r="E251" s="21" t="s">
        <v>321</v>
      </c>
      <c r="F251" t="s">
        <v>61</v>
      </c>
      <c r="G251" s="5">
        <v>4.5985333333333331</v>
      </c>
      <c r="H251" s="5">
        <v>74.078133333333327</v>
      </c>
      <c r="I251" s="8">
        <v>16393</v>
      </c>
      <c r="J251" s="7">
        <f t="shared" si="28"/>
        <v>6.1466080804786017E-3</v>
      </c>
    </row>
    <row r="252" spans="1:13" ht="15.75" x14ac:dyDescent="0.25">
      <c r="B252" s="22">
        <v>4</v>
      </c>
      <c r="C252" s="19" t="s">
        <v>287</v>
      </c>
      <c r="D252" t="s">
        <v>8</v>
      </c>
      <c r="E252" s="21" t="s">
        <v>322</v>
      </c>
      <c r="F252" t="s">
        <v>61</v>
      </c>
      <c r="G252" s="5">
        <v>4.5955722222222217</v>
      </c>
      <c r="H252" s="5">
        <v>74.068891666666659</v>
      </c>
      <c r="I252" s="8">
        <v>16393</v>
      </c>
      <c r="J252" s="7">
        <f>SQRT(($G$254-G252)^2+($H$254-H252)^2)</f>
        <v>3.6613350336227755E-3</v>
      </c>
    </row>
    <row r="253" spans="1:13" x14ac:dyDescent="0.25">
      <c r="G253">
        <f>SUMPRODUCT(G249:G252,I249:I252)</f>
        <v>301455.70382777776</v>
      </c>
      <c r="H253">
        <f>SUMPRODUCT(H249:H252,I249:I252)</f>
        <v>4857056.1965611111</v>
      </c>
      <c r="I253" s="10">
        <f>SUM(I249:I252)</f>
        <v>65572</v>
      </c>
    </row>
    <row r="254" spans="1:13" x14ac:dyDescent="0.25">
      <c r="F254" s="11" t="s">
        <v>381</v>
      </c>
      <c r="G254" s="12">
        <f>G253/I253</f>
        <v>4.5973236111111104</v>
      </c>
      <c r="H254" s="12">
        <f>H253/I253</f>
        <v>74.072106944444442</v>
      </c>
      <c r="I254" s="44" t="s">
        <v>272</v>
      </c>
      <c r="J254" s="44"/>
      <c r="K254" s="20" t="s">
        <v>267</v>
      </c>
      <c r="L254" s="45" t="s">
        <v>276</v>
      </c>
      <c r="M254" s="46"/>
    </row>
    <row r="255" spans="1:13" ht="15.75" x14ac:dyDescent="0.25">
      <c r="G255" s="14" t="s">
        <v>273</v>
      </c>
      <c r="H255" s="14" t="s">
        <v>274</v>
      </c>
      <c r="L255" s="7" t="s">
        <v>275</v>
      </c>
      <c r="M255" s="8">
        <f>SUMPRODUCT(I249:I252,J249:J252)</f>
        <v>459.74512182667439</v>
      </c>
    </row>
    <row r="258" spans="1:13" ht="30" x14ac:dyDescent="0.25">
      <c r="A258">
        <v>18</v>
      </c>
      <c r="B258" s="17" t="s">
        <v>290</v>
      </c>
      <c r="C258" s="17" t="s">
        <v>285</v>
      </c>
      <c r="D258" s="17" t="s">
        <v>74</v>
      </c>
      <c r="E258" s="17" t="s">
        <v>63</v>
      </c>
      <c r="F258" s="17" t="s">
        <v>64</v>
      </c>
      <c r="G258" s="2" t="s">
        <v>266</v>
      </c>
      <c r="H258" s="2" t="s">
        <v>267</v>
      </c>
      <c r="I258" s="2" t="s">
        <v>282</v>
      </c>
      <c r="J258" s="2" t="s">
        <v>268</v>
      </c>
    </row>
    <row r="259" spans="1:13" ht="15.75" x14ac:dyDescent="0.25">
      <c r="B259" s="22">
        <v>1</v>
      </c>
      <c r="C259" s="19" t="s">
        <v>286</v>
      </c>
      <c r="D259" t="s">
        <v>9</v>
      </c>
      <c r="E259" s="21" t="s">
        <v>342</v>
      </c>
      <c r="F259" t="s">
        <v>60</v>
      </c>
      <c r="G259" s="5">
        <v>4.5794638888888883</v>
      </c>
      <c r="H259" s="5">
        <v>74.100747222222211</v>
      </c>
      <c r="I259" s="8">
        <v>16393</v>
      </c>
      <c r="J259" s="7">
        <f>SQRT(($G$264-G259)^2+($H$264-H259)^2)</f>
        <v>1.5766120742637755E-2</v>
      </c>
    </row>
    <row r="260" spans="1:13" ht="15.75" x14ac:dyDescent="0.25">
      <c r="B260" s="22">
        <v>2</v>
      </c>
      <c r="C260" s="19" t="s">
        <v>288</v>
      </c>
      <c r="D260" t="s">
        <v>9</v>
      </c>
      <c r="E260" s="21" t="s">
        <v>343</v>
      </c>
      <c r="F260" t="s">
        <v>60</v>
      </c>
      <c r="G260" s="5">
        <v>4.5689916666666663</v>
      </c>
      <c r="H260" s="5">
        <v>74.125225</v>
      </c>
      <c r="I260" s="8">
        <v>16393</v>
      </c>
      <c r="J260" s="7">
        <f t="shared" ref="J260:J261" si="29">SQRT(($G$264-G260)^2+($H$264-H260)^2)</f>
        <v>1.0875095075520039E-2</v>
      </c>
    </row>
    <row r="261" spans="1:13" ht="15.75" x14ac:dyDescent="0.25">
      <c r="B261" s="22">
        <v>3</v>
      </c>
      <c r="C261" s="19" t="s">
        <v>289</v>
      </c>
      <c r="D261" t="s">
        <v>9</v>
      </c>
      <c r="E261" s="21" t="s">
        <v>345</v>
      </c>
      <c r="F261" t="s">
        <v>60</v>
      </c>
      <c r="G261" s="5">
        <v>4.5892694444444437</v>
      </c>
      <c r="H261" s="5">
        <v>74.125586111111105</v>
      </c>
      <c r="I261" s="8">
        <v>16393</v>
      </c>
      <c r="J261" s="7">
        <f t="shared" si="29"/>
        <v>1.9525539819609077E-2</v>
      </c>
    </row>
    <row r="262" spans="1:13" ht="15.75" x14ac:dyDescent="0.25">
      <c r="B262" s="22">
        <v>4</v>
      </c>
      <c r="C262" s="19" t="s">
        <v>287</v>
      </c>
      <c r="D262" t="s">
        <v>9</v>
      </c>
      <c r="E262" s="21" t="s">
        <v>344</v>
      </c>
      <c r="F262" t="s">
        <v>60</v>
      </c>
      <c r="G262" s="5">
        <v>4.5535972222222219</v>
      </c>
      <c r="H262" s="5">
        <v>74.108641666666657</v>
      </c>
      <c r="I262" s="8">
        <v>16393</v>
      </c>
      <c r="J262" s="7">
        <f>SQRT(($G$264-G262)^2+($H$264-H262)^2)</f>
        <v>2.0272835204334913E-2</v>
      </c>
    </row>
    <row r="263" spans="1:13" x14ac:dyDescent="0.25">
      <c r="G263">
        <f>SUMPRODUCT(G259:G262,I259:I262)</f>
        <v>299849.64518888888</v>
      </c>
      <c r="H263">
        <f>SUMPRODUCT(H259:H262,I259:I262)</f>
        <v>4859872.0585999992</v>
      </c>
      <c r="I263" s="10">
        <f>SUM(I259:I262)</f>
        <v>65572</v>
      </c>
    </row>
    <row r="264" spans="1:13" x14ac:dyDescent="0.25">
      <c r="F264" s="11" t="s">
        <v>382</v>
      </c>
      <c r="G264" s="12">
        <f>G263/I263</f>
        <v>4.5728305555555551</v>
      </c>
      <c r="H264" s="12">
        <f>H263/I263</f>
        <v>74.115049999999982</v>
      </c>
      <c r="I264" s="44" t="s">
        <v>272</v>
      </c>
      <c r="J264" s="44"/>
      <c r="K264" s="20" t="s">
        <v>267</v>
      </c>
      <c r="L264" s="45" t="s">
        <v>276</v>
      </c>
      <c r="M264" s="46"/>
    </row>
    <row r="265" spans="1:13" ht="15.75" x14ac:dyDescent="0.25">
      <c r="G265" s="14" t="s">
        <v>273</v>
      </c>
      <c r="H265" s="14" t="s">
        <v>274</v>
      </c>
      <c r="L265" s="7" t="s">
        <v>275</v>
      </c>
      <c r="M265" s="8">
        <f>SUMPRODUCT(I259:I262,J259:J262)</f>
        <v>1089.1442126745746</v>
      </c>
    </row>
    <row r="268" spans="1:13" ht="30" x14ac:dyDescent="0.25">
      <c r="A268">
        <v>19</v>
      </c>
      <c r="B268" s="17" t="s">
        <v>290</v>
      </c>
      <c r="C268" s="17" t="s">
        <v>285</v>
      </c>
      <c r="D268" s="17" t="s">
        <v>74</v>
      </c>
      <c r="E268" s="17" t="s">
        <v>63</v>
      </c>
      <c r="F268" s="17" t="s">
        <v>64</v>
      </c>
      <c r="G268" s="2" t="s">
        <v>266</v>
      </c>
      <c r="H268" s="2" t="s">
        <v>267</v>
      </c>
      <c r="I268" s="2" t="s">
        <v>282</v>
      </c>
      <c r="J268" s="2" t="s">
        <v>268</v>
      </c>
    </row>
    <row r="269" spans="1:13" ht="15.75" x14ac:dyDescent="0.25">
      <c r="B269" s="22">
        <v>1</v>
      </c>
      <c r="C269" s="19" t="s">
        <v>286</v>
      </c>
      <c r="D269" t="s">
        <v>10</v>
      </c>
      <c r="E269" s="21" t="s">
        <v>346</v>
      </c>
      <c r="F269" t="s">
        <v>60</v>
      </c>
      <c r="G269" s="5">
        <v>4.5663777777777774</v>
      </c>
      <c r="H269" s="5">
        <v>74.143527777777791</v>
      </c>
      <c r="I269" s="8">
        <v>16393</v>
      </c>
      <c r="J269" s="7">
        <f>SQRT(($G$274-G269)^2+($H$274-H269)^2)</f>
        <v>1.7322276928015502E-2</v>
      </c>
    </row>
    <row r="270" spans="1:13" ht="15.75" x14ac:dyDescent="0.25">
      <c r="B270" s="22">
        <v>2</v>
      </c>
      <c r="C270" s="19" t="s">
        <v>288</v>
      </c>
      <c r="D270" t="s">
        <v>10</v>
      </c>
      <c r="E270" s="21" t="s">
        <v>347</v>
      </c>
      <c r="F270" t="s">
        <v>60</v>
      </c>
      <c r="G270" s="5">
        <v>4.5440805555555555</v>
      </c>
      <c r="H270" s="5">
        <v>74.169188888888897</v>
      </c>
      <c r="I270" s="8">
        <v>16393</v>
      </c>
      <c r="J270" s="7">
        <f t="shared" ref="J270:J271" si="30">SQRT(($G$274-G270)^2+($H$274-H270)^2)</f>
        <v>1.8388168441109312E-2</v>
      </c>
    </row>
    <row r="271" spans="1:13" ht="15.75" x14ac:dyDescent="0.25">
      <c r="B271" s="22">
        <v>3</v>
      </c>
      <c r="C271" s="19" t="s">
        <v>289</v>
      </c>
      <c r="D271" t="s">
        <v>10</v>
      </c>
      <c r="E271" s="21" t="s">
        <v>369</v>
      </c>
      <c r="F271" t="s">
        <v>60</v>
      </c>
      <c r="G271" s="5">
        <v>4.5955666666666666</v>
      </c>
      <c r="H271" s="5">
        <v>74.173150000000007</v>
      </c>
      <c r="I271" s="8">
        <v>16393</v>
      </c>
      <c r="J271" s="7">
        <f t="shared" si="30"/>
        <v>3.8349016882725719E-2</v>
      </c>
    </row>
    <row r="272" spans="1:13" ht="15.75" x14ac:dyDescent="0.25">
      <c r="B272" s="22">
        <v>4</v>
      </c>
      <c r="C272" s="19" t="s">
        <v>287</v>
      </c>
      <c r="D272" t="s">
        <v>10</v>
      </c>
      <c r="E272" s="21" t="s">
        <v>348</v>
      </c>
      <c r="F272" t="s">
        <v>60</v>
      </c>
      <c r="G272" s="5">
        <v>4.532861111111111</v>
      </c>
      <c r="H272" s="5">
        <v>74.152213888888895</v>
      </c>
      <c r="I272" s="8">
        <v>16393</v>
      </c>
      <c r="J272" s="7">
        <f>SQRT(($G$274-G272)^2+($H$274-H272)^2)</f>
        <v>2.7836366008687934E-2</v>
      </c>
    </row>
    <row r="273" spans="1:13" x14ac:dyDescent="0.25">
      <c r="G273">
        <f>SUMPRODUCT(G269:G272,I269:I272)</f>
        <v>298990.06001944444</v>
      </c>
      <c r="H273">
        <f>SUMPRODUCT(H269:H272,I269:I272)</f>
        <v>4862788.0545472233</v>
      </c>
      <c r="I273" s="10">
        <f>SUM(I269:I272)</f>
        <v>65572</v>
      </c>
    </row>
    <row r="274" spans="1:13" x14ac:dyDescent="0.25">
      <c r="F274" s="11" t="s">
        <v>383</v>
      </c>
      <c r="G274" s="12">
        <f>G273/I273</f>
        <v>4.5597215277777776</v>
      </c>
      <c r="H274" s="12">
        <f>H273/I273</f>
        <v>74.159520138888908</v>
      </c>
      <c r="I274" s="44" t="s">
        <v>272</v>
      </c>
      <c r="J274" s="44"/>
      <c r="K274" s="20" t="s">
        <v>267</v>
      </c>
      <c r="L274" s="45" t="s">
        <v>276</v>
      </c>
      <c r="M274" s="46"/>
    </row>
    <row r="275" spans="1:13" ht="15.75" x14ac:dyDescent="0.25">
      <c r="G275" s="14" t="s">
        <v>273</v>
      </c>
      <c r="H275" s="14" t="s">
        <v>274</v>
      </c>
      <c r="L275" s="7" t="s">
        <v>275</v>
      </c>
      <c r="M275" s="8">
        <f>SUMPRODUCT(I269:I272,J269:J272)</f>
        <v>1670.3783126750068</v>
      </c>
    </row>
    <row r="278" spans="1:13" ht="30" x14ac:dyDescent="0.25">
      <c r="A278">
        <v>20</v>
      </c>
      <c r="B278" s="17" t="s">
        <v>290</v>
      </c>
      <c r="C278" s="17" t="s">
        <v>285</v>
      </c>
      <c r="D278" s="17" t="s">
        <v>74</v>
      </c>
      <c r="E278" s="17" t="s">
        <v>63</v>
      </c>
      <c r="F278" s="17" t="s">
        <v>64</v>
      </c>
      <c r="G278" s="2" t="s">
        <v>266</v>
      </c>
      <c r="H278" s="2" t="s">
        <v>267</v>
      </c>
      <c r="I278" s="2" t="s">
        <v>282</v>
      </c>
      <c r="J278" s="2" t="s">
        <v>268</v>
      </c>
    </row>
    <row r="279" spans="1:13" ht="15.75" x14ac:dyDescent="0.25">
      <c r="B279" s="22">
        <v>1</v>
      </c>
      <c r="C279" s="19" t="s">
        <v>286</v>
      </c>
      <c r="D279" t="s">
        <v>11</v>
      </c>
      <c r="E279" s="21" t="s">
        <v>350</v>
      </c>
      <c r="F279" t="s">
        <v>60</v>
      </c>
      <c r="G279" s="5">
        <v>4.482763888888889</v>
      </c>
      <c r="H279" s="5">
        <v>74.121049999999997</v>
      </c>
      <c r="I279" s="8">
        <v>16393</v>
      </c>
      <c r="J279" s="7">
        <f>SQRT(($G$284-G279)^2+($H$284-H279)^2)</f>
        <v>0.17358546524190982</v>
      </c>
    </row>
    <row r="280" spans="1:13" ht="15.75" x14ac:dyDescent="0.25">
      <c r="B280" s="22">
        <v>2</v>
      </c>
      <c r="C280" s="19" t="s">
        <v>288</v>
      </c>
      <c r="D280" t="s">
        <v>11</v>
      </c>
      <c r="E280" s="21" t="s">
        <v>349</v>
      </c>
      <c r="F280" t="s">
        <v>60</v>
      </c>
      <c r="G280" s="5">
        <v>4.0291833333333331</v>
      </c>
      <c r="H280" s="5">
        <v>74.315205555555551</v>
      </c>
      <c r="I280" s="8">
        <v>16393</v>
      </c>
      <c r="J280" s="7">
        <f t="shared" ref="J280:J281" si="31">SQRT(($G$284-G280)^2+($H$284-H280)^2)</f>
        <v>0.31981702343221358</v>
      </c>
    </row>
    <row r="281" spans="1:13" ht="15.75" x14ac:dyDescent="0.25">
      <c r="B281" s="22">
        <v>3</v>
      </c>
      <c r="C281" s="19" t="s">
        <v>289</v>
      </c>
      <c r="D281" t="s">
        <v>11</v>
      </c>
      <c r="E281" s="21" t="s">
        <v>351</v>
      </c>
      <c r="F281" t="s">
        <v>60</v>
      </c>
      <c r="G281" s="5">
        <v>4.3922222222222222</v>
      </c>
      <c r="H281" s="5">
        <v>74.176258333333337</v>
      </c>
      <c r="I281" s="8">
        <v>16393</v>
      </c>
      <c r="J281" s="7">
        <f t="shared" si="31"/>
        <v>7.0672285663060871E-2</v>
      </c>
    </row>
    <row r="282" spans="1:13" ht="15.75" x14ac:dyDescent="0.25">
      <c r="B282" s="22">
        <v>4</v>
      </c>
      <c r="C282" s="19" t="s">
        <v>287</v>
      </c>
      <c r="D282" t="s">
        <v>11</v>
      </c>
      <c r="E282" s="21" t="s">
        <v>352</v>
      </c>
      <c r="F282" t="s">
        <v>60</v>
      </c>
      <c r="G282" s="5">
        <v>4.3857555555555559</v>
      </c>
      <c r="H282" s="5">
        <v>74.13826111111112</v>
      </c>
      <c r="I282" s="8">
        <v>16393</v>
      </c>
      <c r="J282" s="7">
        <f>SQRT(($G$284-G282)^2+($H$284-H282)^2)</f>
        <v>8.0294604619844459E-2</v>
      </c>
    </row>
    <row r="283" spans="1:13" x14ac:dyDescent="0.25">
      <c r="G283">
        <f>SUMPRODUCT(G279:G282,I279:I282)</f>
        <v>283433.74052499997</v>
      </c>
      <c r="H283">
        <f>SUMPRODUCT(H279:H282,I279:I282)</f>
        <v>4864635.4545750003</v>
      </c>
      <c r="I283" s="10">
        <f>SUM(I279:I282)</f>
        <v>65572</v>
      </c>
    </row>
    <row r="284" spans="1:13" x14ac:dyDescent="0.25">
      <c r="F284" s="11" t="s">
        <v>384</v>
      </c>
      <c r="G284" s="12">
        <f>G283/I283</f>
        <v>4.3224812499999992</v>
      </c>
      <c r="H284" s="12">
        <f>H283/I283</f>
        <v>74.187693750000008</v>
      </c>
      <c r="I284" s="44" t="s">
        <v>272</v>
      </c>
      <c r="J284" s="44"/>
      <c r="K284" s="20" t="s">
        <v>267</v>
      </c>
      <c r="L284" s="45" t="s">
        <v>276</v>
      </c>
      <c r="M284" s="46"/>
    </row>
    <row r="285" spans="1:13" ht="15.75" x14ac:dyDescent="0.25">
      <c r="G285" s="14" t="s">
        <v>273</v>
      </c>
      <c r="H285" s="14" t="s">
        <v>274</v>
      </c>
      <c r="L285" s="7" t="s">
        <v>275</v>
      </c>
      <c r="M285" s="8">
        <f>SUMPRODUCT(I279:I282,J279:J282)</f>
        <v>10563.147229242573</v>
      </c>
    </row>
    <row r="288" spans="1:13" ht="30" x14ac:dyDescent="0.25">
      <c r="A288">
        <v>21</v>
      </c>
      <c r="B288" s="17" t="s">
        <v>290</v>
      </c>
      <c r="C288" s="17" t="s">
        <v>285</v>
      </c>
      <c r="D288" s="17" t="s">
        <v>74</v>
      </c>
      <c r="E288" s="17" t="s">
        <v>63</v>
      </c>
      <c r="F288" s="17" t="s">
        <v>64</v>
      </c>
      <c r="G288" s="2" t="s">
        <v>266</v>
      </c>
      <c r="H288" s="2" t="s">
        <v>267</v>
      </c>
      <c r="I288" s="2" t="s">
        <v>282</v>
      </c>
      <c r="J288" s="2" t="s">
        <v>268</v>
      </c>
    </row>
    <row r="289" spans="2:13" ht="15.75" x14ac:dyDescent="0.25">
      <c r="B289" s="22">
        <v>1</v>
      </c>
      <c r="C289" s="19" t="s">
        <v>286</v>
      </c>
      <c r="E289" s="21"/>
      <c r="G289" s="5"/>
      <c r="H289" s="5"/>
      <c r="I289" s="8">
        <v>16393</v>
      </c>
      <c r="J289" s="7">
        <f>SQRT(($G$294-G289)^2+($H$294-H289)^2)</f>
        <v>0</v>
      </c>
    </row>
    <row r="290" spans="2:13" ht="15.75" x14ac:dyDescent="0.25">
      <c r="B290" s="22">
        <v>2</v>
      </c>
      <c r="C290" s="19" t="s">
        <v>288</v>
      </c>
      <c r="E290" s="21"/>
      <c r="G290" s="5"/>
      <c r="H290" s="5"/>
      <c r="I290" s="8">
        <v>16393</v>
      </c>
      <c r="J290" s="7">
        <f t="shared" ref="J290:J292" si="32">SQRT(($G$294-G290)^2+($H$294-H290)^2)</f>
        <v>0</v>
      </c>
    </row>
    <row r="291" spans="2:13" ht="15.75" x14ac:dyDescent="0.25">
      <c r="B291" s="22">
        <v>3</v>
      </c>
      <c r="C291" s="19" t="s">
        <v>289</v>
      </c>
      <c r="E291" s="21"/>
      <c r="G291" s="5"/>
      <c r="H291" s="5"/>
      <c r="I291" s="8">
        <v>16393</v>
      </c>
      <c r="J291" s="7">
        <f t="shared" si="32"/>
        <v>0</v>
      </c>
    </row>
    <row r="292" spans="2:13" ht="15.75" x14ac:dyDescent="0.25">
      <c r="B292" s="22">
        <v>4</v>
      </c>
      <c r="C292" s="19" t="s">
        <v>287</v>
      </c>
      <c r="E292" s="21"/>
      <c r="G292" s="5"/>
      <c r="H292" s="5"/>
      <c r="I292" s="8">
        <v>16393</v>
      </c>
      <c r="J292" s="7">
        <f t="shared" si="32"/>
        <v>0</v>
      </c>
    </row>
    <row r="293" spans="2:13" x14ac:dyDescent="0.25">
      <c r="G293">
        <f>SUMPRODUCT(G289:G292,I289:I292)</f>
        <v>0</v>
      </c>
      <c r="H293">
        <f>SUMPRODUCT(H289:H292,I289:I292)</f>
        <v>0</v>
      </c>
      <c r="I293" s="10">
        <f>SUM(I289:I292)</f>
        <v>65572</v>
      </c>
    </row>
    <row r="294" spans="2:13" x14ac:dyDescent="0.25">
      <c r="F294" s="11" t="s">
        <v>384</v>
      </c>
      <c r="G294" s="12">
        <f>G293/I293</f>
        <v>0</v>
      </c>
      <c r="H294" s="12">
        <f>H293/I293</f>
        <v>0</v>
      </c>
      <c r="I294" s="44" t="s">
        <v>272</v>
      </c>
      <c r="J294" s="44"/>
      <c r="K294" s="20" t="s">
        <v>267</v>
      </c>
      <c r="L294" s="45" t="s">
        <v>276</v>
      </c>
      <c r="M294" s="46"/>
    </row>
    <row r="295" spans="2:13" ht="15.75" x14ac:dyDescent="0.25">
      <c r="G295" s="14" t="s">
        <v>273</v>
      </c>
      <c r="H295" s="14" t="s">
        <v>274</v>
      </c>
      <c r="L295" s="7" t="s">
        <v>275</v>
      </c>
      <c r="M295" s="8">
        <f>SUMPRODUCT(I289:I292,J289:J292)</f>
        <v>0</v>
      </c>
    </row>
  </sheetData>
  <mergeCells count="55">
    <mergeCell ref="AA92:AA93"/>
    <mergeCell ref="G1:I1"/>
    <mergeCell ref="J1:L1"/>
    <mergeCell ref="B1:B2"/>
    <mergeCell ref="C1:C2"/>
    <mergeCell ref="D1:D2"/>
    <mergeCell ref="E1:E2"/>
    <mergeCell ref="F1:F2"/>
    <mergeCell ref="U92:W92"/>
    <mergeCell ref="X92:Z92"/>
    <mergeCell ref="O1:O2"/>
    <mergeCell ref="I214:J214"/>
    <mergeCell ref="L214:M214"/>
    <mergeCell ref="I224:J224"/>
    <mergeCell ref="L224:M224"/>
    <mergeCell ref="I234:J234"/>
    <mergeCell ref="L234:M234"/>
    <mergeCell ref="I294:J294"/>
    <mergeCell ref="L294:M294"/>
    <mergeCell ref="I244:J244"/>
    <mergeCell ref="L244:M244"/>
    <mergeCell ref="I254:J254"/>
    <mergeCell ref="L254:M254"/>
    <mergeCell ref="I264:J264"/>
    <mergeCell ref="L264:M264"/>
    <mergeCell ref="I274:J274"/>
    <mergeCell ref="L274:M274"/>
    <mergeCell ref="I284:J284"/>
    <mergeCell ref="L284:M284"/>
    <mergeCell ref="I144:J144"/>
    <mergeCell ref="L144:M144"/>
    <mergeCell ref="I204:J204"/>
    <mergeCell ref="L204:M204"/>
    <mergeCell ref="I154:J154"/>
    <mergeCell ref="L154:M154"/>
    <mergeCell ref="I164:J164"/>
    <mergeCell ref="L164:M164"/>
    <mergeCell ref="I174:J174"/>
    <mergeCell ref="L174:M174"/>
    <mergeCell ref="I184:J184"/>
    <mergeCell ref="L184:M184"/>
    <mergeCell ref="I194:J194"/>
    <mergeCell ref="L194:M194"/>
    <mergeCell ref="I114:J114"/>
    <mergeCell ref="L114:M114"/>
    <mergeCell ref="I124:J124"/>
    <mergeCell ref="L124:M124"/>
    <mergeCell ref="I134:J134"/>
    <mergeCell ref="L134:M134"/>
    <mergeCell ref="I94:J94"/>
    <mergeCell ref="L94:M94"/>
    <mergeCell ref="I104:J104"/>
    <mergeCell ref="L104:M104"/>
    <mergeCell ref="R92:R93"/>
    <mergeCell ref="Q92:Q93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6EE3-47EE-40C2-AF89-0AD60BBAD645}">
  <dimension ref="A1:S106"/>
  <sheetViews>
    <sheetView tabSelected="1" topLeftCell="D1" zoomScale="85" zoomScaleNormal="85" workbookViewId="0">
      <selection activeCell="R2" sqref="R2"/>
    </sheetView>
  </sheetViews>
  <sheetFormatPr baseColWidth="10" defaultRowHeight="15" x14ac:dyDescent="0.25"/>
  <cols>
    <col min="1" max="1" width="11.42578125" style="4"/>
    <col min="2" max="2" width="11.42578125" style="20"/>
    <col min="3" max="3" width="12.7109375" style="4" customWidth="1"/>
    <col min="4" max="4" width="20.140625" customWidth="1"/>
    <col min="5" max="5" width="34.42578125" customWidth="1"/>
    <col min="6" max="6" width="30" customWidth="1"/>
    <col min="7" max="7" width="18.5703125" customWidth="1"/>
    <col min="14" max="14" width="13.5703125" bestFit="1" customWidth="1"/>
    <col min="15" max="15" width="14.5703125" bestFit="1" customWidth="1"/>
    <col min="16" max="16" width="34.85546875" customWidth="1"/>
    <col min="18" max="18" width="20.140625" customWidth="1"/>
  </cols>
  <sheetData>
    <row r="1" spans="1:19" ht="15.75" customHeight="1" x14ac:dyDescent="0.25">
      <c r="A1" s="52" t="s">
        <v>419</v>
      </c>
      <c r="B1" s="52" t="s">
        <v>290</v>
      </c>
      <c r="C1" s="52" t="s">
        <v>389</v>
      </c>
      <c r="D1" s="52" t="s">
        <v>74</v>
      </c>
      <c r="E1" s="52" t="s">
        <v>392</v>
      </c>
      <c r="F1" s="52" t="s">
        <v>63</v>
      </c>
      <c r="G1" s="52" t="s">
        <v>387</v>
      </c>
      <c r="H1" s="49" t="s">
        <v>248</v>
      </c>
      <c r="I1" s="50"/>
      <c r="J1" s="51"/>
      <c r="K1" s="49" t="s">
        <v>249</v>
      </c>
      <c r="L1" s="50"/>
      <c r="M1" s="51"/>
      <c r="N1" s="1" t="s">
        <v>248</v>
      </c>
      <c r="O1" s="1" t="s">
        <v>249</v>
      </c>
      <c r="P1" s="48" t="s">
        <v>388</v>
      </c>
    </row>
    <row r="2" spans="1:19" ht="33.75" customHeight="1" x14ac:dyDescent="0.25">
      <c r="A2" s="53"/>
      <c r="B2" s="53"/>
      <c r="C2" s="53"/>
      <c r="D2" s="53"/>
      <c r="E2" s="53"/>
      <c r="F2" s="53"/>
      <c r="G2" s="53"/>
      <c r="H2" s="2" t="s">
        <v>250</v>
      </c>
      <c r="I2" s="2" t="s">
        <v>251</v>
      </c>
      <c r="J2" s="2" t="s">
        <v>252</v>
      </c>
      <c r="K2" s="2" t="s">
        <v>250</v>
      </c>
      <c r="L2" s="2" t="s">
        <v>251</v>
      </c>
      <c r="M2" s="2" t="s">
        <v>252</v>
      </c>
      <c r="N2" s="1" t="s">
        <v>253</v>
      </c>
      <c r="O2" s="1" t="s">
        <v>253</v>
      </c>
      <c r="P2" s="48"/>
      <c r="R2" s="60" t="s">
        <v>74</v>
      </c>
      <c r="S2" s="3" t="s">
        <v>560</v>
      </c>
    </row>
    <row r="3" spans="1:19" x14ac:dyDescent="0.25">
      <c r="A3" s="4">
        <v>6852</v>
      </c>
      <c r="B3" s="20">
        <v>1</v>
      </c>
      <c r="C3" s="4" t="s">
        <v>390</v>
      </c>
      <c r="D3" t="s">
        <v>7</v>
      </c>
      <c r="E3" t="s">
        <v>393</v>
      </c>
      <c r="F3" t="s">
        <v>394</v>
      </c>
      <c r="G3" t="s">
        <v>61</v>
      </c>
      <c r="H3">
        <v>4</v>
      </c>
      <c r="I3">
        <v>36</v>
      </c>
      <c r="J3">
        <v>46.37</v>
      </c>
      <c r="K3">
        <v>74</v>
      </c>
      <c r="L3">
        <v>6</v>
      </c>
      <c r="M3">
        <v>13.25</v>
      </c>
      <c r="N3" s="55">
        <f>H3+(I3/60)+(J3/3600)</f>
        <v>4.612880555555555</v>
      </c>
      <c r="O3" s="55">
        <f>K3+(L3/60)+(M3/3600)</f>
        <v>74.103680555555556</v>
      </c>
      <c r="P3" t="str">
        <f>H3&amp;"°"&amp;I3&amp;"′"&amp;SUBSTITUTE(J3,",",".")&amp;"″"&amp;"N "&amp;K3&amp;"°"&amp;L3&amp;"′"&amp;SUBSTITUTE(M3,",",".")&amp;"″"&amp;"W"</f>
        <v>4°36′46.37″N 74°6′13.25″W</v>
      </c>
      <c r="R3" s="4" t="s">
        <v>7</v>
      </c>
      <c r="S3" s="4">
        <f>+COUNTIF(D:D,R3)</f>
        <v>5</v>
      </c>
    </row>
    <row r="4" spans="1:19" x14ac:dyDescent="0.25">
      <c r="A4" s="4">
        <v>6996</v>
      </c>
      <c r="B4" s="20">
        <v>2</v>
      </c>
      <c r="C4" s="4" t="s">
        <v>390</v>
      </c>
      <c r="D4" t="s">
        <v>15</v>
      </c>
      <c r="E4" t="s">
        <v>395</v>
      </c>
      <c r="F4" t="s">
        <v>396</v>
      </c>
      <c r="G4" t="s">
        <v>61</v>
      </c>
      <c r="H4">
        <v>4</v>
      </c>
      <c r="I4">
        <v>34</v>
      </c>
      <c r="J4">
        <v>43.98</v>
      </c>
      <c r="K4">
        <v>74</v>
      </c>
      <c r="L4">
        <v>5</v>
      </c>
      <c r="M4">
        <v>13.03</v>
      </c>
      <c r="N4" s="55">
        <f t="shared" ref="N4:N28" si="0">H4+(I4/60)+(J4/3600)</f>
        <v>4.5788833333333328</v>
      </c>
      <c r="O4" s="55">
        <f t="shared" ref="O4:O28" si="1">K4+(L4/60)+(M4/3600)</f>
        <v>74.086952777777768</v>
      </c>
      <c r="P4" t="str">
        <f t="shared" ref="P4:P67" si="2">H4&amp;"°"&amp;I4&amp;"′"&amp;SUBSTITUTE(J4,",",".")&amp;"″"&amp;"N "&amp;K4&amp;"°"&amp;L4&amp;"′"&amp;SUBSTITUTE(M4,",",".")&amp;"″"&amp;"W"</f>
        <v>4°34′43.98″N 74°5′13.03″W</v>
      </c>
      <c r="R4" s="4" t="s">
        <v>15</v>
      </c>
      <c r="S4" s="4">
        <f>+COUNTIF(D:D,R4)</f>
        <v>13</v>
      </c>
    </row>
    <row r="5" spans="1:19" x14ac:dyDescent="0.25">
      <c r="A5" s="4">
        <v>7070</v>
      </c>
      <c r="B5" s="20">
        <v>3</v>
      </c>
      <c r="C5" s="4" t="s">
        <v>390</v>
      </c>
      <c r="D5" t="s">
        <v>15</v>
      </c>
      <c r="E5" t="s">
        <v>397</v>
      </c>
      <c r="F5" t="s">
        <v>398</v>
      </c>
      <c r="G5" t="s">
        <v>61</v>
      </c>
      <c r="H5">
        <v>4</v>
      </c>
      <c r="I5">
        <v>32</v>
      </c>
      <c r="J5">
        <v>48.92</v>
      </c>
      <c r="K5">
        <v>74</v>
      </c>
      <c r="L5">
        <v>5</v>
      </c>
      <c r="M5">
        <v>31.05</v>
      </c>
      <c r="N5" s="55">
        <f t="shared" si="0"/>
        <v>4.5469222222222223</v>
      </c>
      <c r="O5" s="55">
        <f t="shared" si="1"/>
        <v>74.091958333333324</v>
      </c>
      <c r="P5" t="str">
        <f t="shared" si="2"/>
        <v>4°32′48.92″N 74°5′31.05″W</v>
      </c>
      <c r="R5" s="4" t="s">
        <v>9</v>
      </c>
      <c r="S5" s="4">
        <f>+COUNTIF(D:D,R5)</f>
        <v>1</v>
      </c>
    </row>
    <row r="6" spans="1:19" x14ac:dyDescent="0.25">
      <c r="A6" s="4">
        <v>7071</v>
      </c>
      <c r="B6" s="20">
        <v>4</v>
      </c>
      <c r="C6" s="4" t="s">
        <v>390</v>
      </c>
      <c r="D6" t="s">
        <v>15</v>
      </c>
      <c r="E6" t="s">
        <v>399</v>
      </c>
      <c r="F6" t="s">
        <v>400</v>
      </c>
      <c r="G6" t="s">
        <v>61</v>
      </c>
      <c r="H6">
        <v>4</v>
      </c>
      <c r="I6">
        <v>32</v>
      </c>
      <c r="J6">
        <v>45.91</v>
      </c>
      <c r="K6">
        <v>74</v>
      </c>
      <c r="L6">
        <v>4</v>
      </c>
      <c r="M6">
        <v>54.06</v>
      </c>
      <c r="N6" s="55">
        <f t="shared" si="0"/>
        <v>4.5460861111111113</v>
      </c>
      <c r="O6" s="55">
        <f t="shared" si="1"/>
        <v>74.081683333333331</v>
      </c>
      <c r="P6" t="str">
        <f t="shared" si="2"/>
        <v>4°32′45.91″N 74°4′54.06″W</v>
      </c>
      <c r="R6" s="4" t="s">
        <v>6</v>
      </c>
      <c r="S6" s="4">
        <f>+COUNTIF(D:D,R6)</f>
        <v>4</v>
      </c>
    </row>
    <row r="7" spans="1:19" x14ac:dyDescent="0.25">
      <c r="A7" s="4">
        <v>7072</v>
      </c>
      <c r="B7" s="20">
        <v>5</v>
      </c>
      <c r="C7" s="4" t="s">
        <v>390</v>
      </c>
      <c r="D7" t="s">
        <v>15</v>
      </c>
      <c r="E7" t="s">
        <v>67</v>
      </c>
      <c r="F7" t="s">
        <v>401</v>
      </c>
      <c r="G7" t="s">
        <v>61</v>
      </c>
      <c r="H7">
        <v>4</v>
      </c>
      <c r="I7">
        <v>34</v>
      </c>
      <c r="J7">
        <v>12.23</v>
      </c>
      <c r="K7">
        <v>74</v>
      </c>
      <c r="L7">
        <v>5</v>
      </c>
      <c r="M7">
        <v>0.35</v>
      </c>
      <c r="N7" s="55">
        <f t="shared" si="0"/>
        <v>4.5700638888888889</v>
      </c>
      <c r="O7" s="55">
        <f t="shared" si="1"/>
        <v>74.083430555555552</v>
      </c>
      <c r="P7" t="str">
        <f t="shared" si="2"/>
        <v>4°34′12.23″N 74°5′0.35″W</v>
      </c>
      <c r="R7" s="4" t="s">
        <v>246</v>
      </c>
      <c r="S7" s="4">
        <f>+COUNTIF(D:D,R7)</f>
        <v>1</v>
      </c>
    </row>
    <row r="8" spans="1:19" x14ac:dyDescent="0.25">
      <c r="A8" s="4">
        <v>7073</v>
      </c>
      <c r="B8" s="20">
        <v>6</v>
      </c>
      <c r="C8" s="4" t="s">
        <v>390</v>
      </c>
      <c r="D8" t="s">
        <v>15</v>
      </c>
      <c r="E8" t="s">
        <v>402</v>
      </c>
      <c r="F8" t="s">
        <v>403</v>
      </c>
      <c r="G8" t="s">
        <v>61</v>
      </c>
      <c r="H8">
        <v>4</v>
      </c>
      <c r="I8">
        <v>34</v>
      </c>
      <c r="J8">
        <v>28.92</v>
      </c>
      <c r="K8">
        <v>74</v>
      </c>
      <c r="L8">
        <v>4</v>
      </c>
      <c r="M8">
        <v>52.8</v>
      </c>
      <c r="N8" s="55">
        <f t="shared" si="0"/>
        <v>4.5747</v>
      </c>
      <c r="O8" s="55">
        <f t="shared" si="1"/>
        <v>74.081333333333333</v>
      </c>
      <c r="P8" t="str">
        <f t="shared" si="2"/>
        <v>4°34′28.92″N 74°4′52.8″W</v>
      </c>
      <c r="R8" s="4" t="s">
        <v>8</v>
      </c>
      <c r="S8" s="4">
        <f>+COUNTIF(D:D,R8)</f>
        <v>2</v>
      </c>
    </row>
    <row r="9" spans="1:19" x14ac:dyDescent="0.25">
      <c r="A9" s="4">
        <v>6341</v>
      </c>
      <c r="B9" s="20">
        <v>7</v>
      </c>
      <c r="C9" s="4" t="s">
        <v>391</v>
      </c>
      <c r="D9" t="s">
        <v>9</v>
      </c>
      <c r="E9" t="s">
        <v>404</v>
      </c>
      <c r="F9" t="s">
        <v>405</v>
      </c>
      <c r="G9" t="s">
        <v>61</v>
      </c>
      <c r="H9">
        <v>4</v>
      </c>
      <c r="I9">
        <v>35</v>
      </c>
      <c r="J9">
        <v>0.28999999999999998</v>
      </c>
      <c r="K9">
        <v>74</v>
      </c>
      <c r="L9">
        <v>7</v>
      </c>
      <c r="M9">
        <v>33.25</v>
      </c>
      <c r="N9" s="55">
        <f t="shared" si="0"/>
        <v>4.5834138888888889</v>
      </c>
      <c r="O9" s="55">
        <f t="shared" si="1"/>
        <v>74.125902777777767</v>
      </c>
      <c r="P9" t="str">
        <f t="shared" si="2"/>
        <v>4°35′0.29″N 74°7′33.25″W</v>
      </c>
      <c r="R9" s="4" t="s">
        <v>10</v>
      </c>
      <c r="S9" s="4">
        <f>+COUNTIF(D:D,R9)</f>
        <v>8</v>
      </c>
    </row>
    <row r="10" spans="1:19" x14ac:dyDescent="0.25">
      <c r="A10" s="4">
        <v>6875</v>
      </c>
      <c r="B10" s="20">
        <v>8</v>
      </c>
      <c r="C10" s="4" t="s">
        <v>391</v>
      </c>
      <c r="D10" t="s">
        <v>6</v>
      </c>
      <c r="E10" t="s">
        <v>406</v>
      </c>
      <c r="F10" t="s">
        <v>407</v>
      </c>
      <c r="G10" t="s">
        <v>61</v>
      </c>
      <c r="H10">
        <v>4</v>
      </c>
      <c r="I10">
        <v>34</v>
      </c>
      <c r="J10">
        <v>57.04</v>
      </c>
      <c r="K10">
        <v>74</v>
      </c>
      <c r="L10">
        <v>5</v>
      </c>
      <c r="M10">
        <v>50.56</v>
      </c>
      <c r="N10" s="55">
        <f t="shared" si="0"/>
        <v>4.5825111111111108</v>
      </c>
      <c r="O10" s="55">
        <f t="shared" si="1"/>
        <v>74.09737777777778</v>
      </c>
      <c r="P10" t="str">
        <f t="shared" si="2"/>
        <v>4°34′57.04″N 74°5′50.56″W</v>
      </c>
      <c r="R10" s="4" t="s">
        <v>0</v>
      </c>
      <c r="S10" s="4">
        <f>+COUNTIF(D:D,R10)</f>
        <v>7</v>
      </c>
    </row>
    <row r="11" spans="1:19" x14ac:dyDescent="0.25">
      <c r="A11" s="4">
        <v>6876</v>
      </c>
      <c r="B11" s="20">
        <v>9</v>
      </c>
      <c r="C11" s="4" t="s">
        <v>391</v>
      </c>
      <c r="D11" t="s">
        <v>6</v>
      </c>
      <c r="E11" t="s">
        <v>408</v>
      </c>
      <c r="F11" t="s">
        <v>409</v>
      </c>
      <c r="G11" t="s">
        <v>61</v>
      </c>
      <c r="H11">
        <v>4</v>
      </c>
      <c r="I11">
        <v>35</v>
      </c>
      <c r="J11">
        <v>11.35</v>
      </c>
      <c r="K11">
        <v>74</v>
      </c>
      <c r="L11">
        <v>5</v>
      </c>
      <c r="M11">
        <v>47.57</v>
      </c>
      <c r="N11" s="55">
        <f t="shared" si="0"/>
        <v>4.5864861111111104</v>
      </c>
      <c r="O11" s="55">
        <f t="shared" si="1"/>
        <v>74.096547222222213</v>
      </c>
      <c r="P11" t="str">
        <f t="shared" si="2"/>
        <v>4°35′11.35″N 74°5′47.57″W</v>
      </c>
      <c r="R11" s="4" t="s">
        <v>1</v>
      </c>
      <c r="S11" s="4">
        <f>+COUNTIF(D:D,R11)</f>
        <v>5</v>
      </c>
    </row>
    <row r="12" spans="1:19" x14ac:dyDescent="0.25">
      <c r="A12" s="4">
        <v>6877</v>
      </c>
      <c r="B12" s="20">
        <v>10</v>
      </c>
      <c r="C12" s="4" t="s">
        <v>391</v>
      </c>
      <c r="D12" t="s">
        <v>246</v>
      </c>
      <c r="E12" t="s">
        <v>410</v>
      </c>
      <c r="F12" t="s">
        <v>411</v>
      </c>
      <c r="G12" t="s">
        <v>61</v>
      </c>
      <c r="H12">
        <v>4</v>
      </c>
      <c r="I12">
        <v>35</v>
      </c>
      <c r="J12">
        <v>42.74</v>
      </c>
      <c r="K12">
        <v>74</v>
      </c>
      <c r="L12">
        <v>6</v>
      </c>
      <c r="M12">
        <v>2.83</v>
      </c>
      <c r="N12" s="55">
        <f t="shared" si="0"/>
        <v>4.5952055555555553</v>
      </c>
      <c r="O12" s="55">
        <f t="shared" si="1"/>
        <v>74.100786111111105</v>
      </c>
      <c r="P12" t="str">
        <f t="shared" si="2"/>
        <v>4°35′42.74″N 74°6′2.83″W</v>
      </c>
      <c r="R12" s="4" t="s">
        <v>17</v>
      </c>
      <c r="S12" s="4">
        <f>+COUNTIF(D:D,R12)</f>
        <v>8</v>
      </c>
    </row>
    <row r="13" spans="1:19" x14ac:dyDescent="0.25">
      <c r="A13" s="4">
        <v>6878</v>
      </c>
      <c r="B13" s="20">
        <v>11</v>
      </c>
      <c r="C13" s="4" t="s">
        <v>391</v>
      </c>
      <c r="D13" t="s">
        <v>8</v>
      </c>
      <c r="E13" t="s">
        <v>412</v>
      </c>
      <c r="F13" t="s">
        <v>413</v>
      </c>
      <c r="G13" t="s">
        <v>61</v>
      </c>
      <c r="H13">
        <v>4</v>
      </c>
      <c r="I13">
        <v>35</v>
      </c>
      <c r="J13">
        <v>32.18</v>
      </c>
      <c r="K13">
        <v>74</v>
      </c>
      <c r="L13">
        <v>4</v>
      </c>
      <c r="M13">
        <v>11.75</v>
      </c>
      <c r="N13" s="55">
        <f t="shared" si="0"/>
        <v>4.5922722222222223</v>
      </c>
      <c r="O13" s="55">
        <f t="shared" si="1"/>
        <v>74.069930555555558</v>
      </c>
      <c r="P13" t="str">
        <f t="shared" si="2"/>
        <v>4°35′32.18″N 74°4′11.75″W</v>
      </c>
      <c r="R13" s="4" t="s">
        <v>18</v>
      </c>
      <c r="S13" s="4">
        <f>+COUNTIF(D:D,R13)</f>
        <v>5</v>
      </c>
    </row>
    <row r="14" spans="1:19" x14ac:dyDescent="0.25">
      <c r="A14" s="4">
        <v>7050</v>
      </c>
      <c r="B14" s="20">
        <v>12</v>
      </c>
      <c r="C14" s="4" t="s">
        <v>391</v>
      </c>
      <c r="D14" t="s">
        <v>15</v>
      </c>
      <c r="E14" t="s">
        <v>414</v>
      </c>
      <c r="F14" t="s">
        <v>415</v>
      </c>
      <c r="G14" t="s">
        <v>61</v>
      </c>
      <c r="H14">
        <v>4</v>
      </c>
      <c r="I14">
        <v>34</v>
      </c>
      <c r="J14">
        <v>7.2</v>
      </c>
      <c r="K14">
        <v>74</v>
      </c>
      <c r="L14">
        <v>5</v>
      </c>
      <c r="M14">
        <v>7.67</v>
      </c>
      <c r="N14" s="55">
        <f t="shared" si="0"/>
        <v>4.5686666666666662</v>
      </c>
      <c r="O14" s="55">
        <f t="shared" si="1"/>
        <v>74.085463888888881</v>
      </c>
      <c r="P14" t="str">
        <f t="shared" si="2"/>
        <v>4°34′7.2″N 74°5′7.67″W</v>
      </c>
      <c r="R14" s="4" t="s">
        <v>16</v>
      </c>
      <c r="S14" s="4">
        <f>+COUNTIF(D:D,R14)</f>
        <v>1</v>
      </c>
    </row>
    <row r="15" spans="1:19" x14ac:dyDescent="0.25">
      <c r="A15" s="4">
        <v>7051</v>
      </c>
      <c r="B15" s="20">
        <v>13</v>
      </c>
      <c r="C15" s="4" t="s">
        <v>391</v>
      </c>
      <c r="D15" t="s">
        <v>7</v>
      </c>
      <c r="E15" t="s">
        <v>416</v>
      </c>
      <c r="F15" t="s">
        <v>417</v>
      </c>
      <c r="G15" t="s">
        <v>61</v>
      </c>
      <c r="H15">
        <v>4</v>
      </c>
      <c r="I15">
        <v>36</v>
      </c>
      <c r="J15">
        <v>21.59</v>
      </c>
      <c r="K15">
        <v>74</v>
      </c>
      <c r="L15">
        <v>6</v>
      </c>
      <c r="M15">
        <v>11.39</v>
      </c>
      <c r="N15" s="55">
        <f t="shared" si="0"/>
        <v>4.6059972222222223</v>
      </c>
      <c r="O15" s="55">
        <f t="shared" si="1"/>
        <v>74.103163888888886</v>
      </c>
      <c r="P15" t="str">
        <f t="shared" si="2"/>
        <v>4°36′21.59″N 74°6′11.39″W</v>
      </c>
      <c r="R15" s="4" t="s">
        <v>2</v>
      </c>
      <c r="S15" s="4">
        <f>+COUNTIF(D:D,R15)</f>
        <v>9</v>
      </c>
    </row>
    <row r="16" spans="1:19" x14ac:dyDescent="0.25">
      <c r="A16" s="4">
        <v>7092</v>
      </c>
      <c r="B16" s="20">
        <v>14</v>
      </c>
      <c r="C16" s="4" t="s">
        <v>390</v>
      </c>
      <c r="D16" t="s">
        <v>15</v>
      </c>
      <c r="E16" t="s">
        <v>67</v>
      </c>
      <c r="F16" t="s">
        <v>401</v>
      </c>
      <c r="G16" t="s">
        <v>61</v>
      </c>
      <c r="H16">
        <v>4</v>
      </c>
      <c r="I16">
        <v>34</v>
      </c>
      <c r="J16">
        <v>12.23</v>
      </c>
      <c r="K16">
        <v>74</v>
      </c>
      <c r="L16">
        <v>5</v>
      </c>
      <c r="M16">
        <v>0.35</v>
      </c>
      <c r="N16" s="55">
        <f t="shared" si="0"/>
        <v>4.5700638888888889</v>
      </c>
      <c r="O16" s="55">
        <f t="shared" si="1"/>
        <v>74.083430555555552</v>
      </c>
      <c r="P16" t="str">
        <f t="shared" si="2"/>
        <v>4°34′12.23″N 74°5′0.35″W</v>
      </c>
      <c r="R16" s="4" t="s">
        <v>3</v>
      </c>
      <c r="S16" s="4">
        <f>+COUNTIF(D:D,R16)</f>
        <v>8</v>
      </c>
    </row>
    <row r="17" spans="1:19" x14ac:dyDescent="0.25">
      <c r="A17" s="4">
        <v>6851</v>
      </c>
      <c r="B17" s="20">
        <v>15</v>
      </c>
      <c r="C17" s="4" t="s">
        <v>390</v>
      </c>
      <c r="D17" t="s">
        <v>15</v>
      </c>
      <c r="E17" t="s">
        <v>539</v>
      </c>
      <c r="F17" t="s">
        <v>401</v>
      </c>
      <c r="G17" t="s">
        <v>61</v>
      </c>
      <c r="H17">
        <v>4</v>
      </c>
      <c r="I17">
        <v>34</v>
      </c>
      <c r="J17">
        <v>12.23</v>
      </c>
      <c r="K17">
        <v>74</v>
      </c>
      <c r="L17">
        <v>5</v>
      </c>
      <c r="M17">
        <v>0.35</v>
      </c>
      <c r="N17" s="55">
        <f t="shared" si="0"/>
        <v>4.5700638888888889</v>
      </c>
      <c r="O17" s="55">
        <f t="shared" si="1"/>
        <v>74.083430555555552</v>
      </c>
      <c r="P17" t="str">
        <f t="shared" si="2"/>
        <v>4°34′12.23″N 74°5′0.35″W</v>
      </c>
      <c r="R17" s="4" t="s">
        <v>13</v>
      </c>
      <c r="S17" s="4">
        <f>+COUNTIF(D:D,R17)</f>
        <v>3</v>
      </c>
    </row>
    <row r="18" spans="1:19" x14ac:dyDescent="0.25">
      <c r="A18" s="4">
        <v>6880</v>
      </c>
      <c r="B18" s="20">
        <v>16</v>
      </c>
      <c r="C18" s="4" t="s">
        <v>391</v>
      </c>
      <c r="D18" t="s">
        <v>15</v>
      </c>
      <c r="E18" t="s">
        <v>540</v>
      </c>
      <c r="F18" t="s">
        <v>401</v>
      </c>
      <c r="G18" t="s">
        <v>61</v>
      </c>
      <c r="H18">
        <v>4</v>
      </c>
      <c r="I18">
        <v>34</v>
      </c>
      <c r="J18">
        <v>12.23</v>
      </c>
      <c r="K18">
        <v>74</v>
      </c>
      <c r="L18">
        <v>5</v>
      </c>
      <c r="M18">
        <v>0.35</v>
      </c>
      <c r="N18" s="55">
        <f t="shared" si="0"/>
        <v>4.5700638888888889</v>
      </c>
      <c r="O18" s="55">
        <f t="shared" si="1"/>
        <v>74.083430555555552</v>
      </c>
      <c r="P18" t="str">
        <f t="shared" si="2"/>
        <v>4°34′12.23″N 74°5′0.35″W</v>
      </c>
      <c r="R18" s="4" t="s">
        <v>12</v>
      </c>
      <c r="S18" s="4">
        <f>+COUNTIF(D:D,R18)</f>
        <v>3</v>
      </c>
    </row>
    <row r="19" spans="1:19" x14ac:dyDescent="0.25">
      <c r="A19" s="4">
        <v>6379</v>
      </c>
      <c r="B19" s="20">
        <v>17</v>
      </c>
      <c r="C19" s="4" t="s">
        <v>391</v>
      </c>
      <c r="D19" t="s">
        <v>15</v>
      </c>
      <c r="E19" t="s">
        <v>418</v>
      </c>
      <c r="F19" t="s">
        <v>401</v>
      </c>
      <c r="G19" t="s">
        <v>61</v>
      </c>
      <c r="H19">
        <v>4</v>
      </c>
      <c r="I19">
        <v>34</v>
      </c>
      <c r="J19">
        <v>12.23</v>
      </c>
      <c r="K19">
        <v>74</v>
      </c>
      <c r="L19">
        <v>5</v>
      </c>
      <c r="M19">
        <v>0.35</v>
      </c>
      <c r="N19" s="55">
        <f t="shared" si="0"/>
        <v>4.5700638888888889</v>
      </c>
      <c r="O19" s="55">
        <f t="shared" si="1"/>
        <v>74.083430555555552</v>
      </c>
      <c r="P19" t="str">
        <f t="shared" si="2"/>
        <v>4°34′12.23″N 74°5′0.35″W</v>
      </c>
      <c r="R19" s="4" t="s">
        <v>214</v>
      </c>
      <c r="S19" s="4">
        <f>+COUNTIF(D:D,R19)</f>
        <v>3</v>
      </c>
    </row>
    <row r="20" spans="1:19" x14ac:dyDescent="0.25">
      <c r="A20" s="4">
        <v>6879</v>
      </c>
      <c r="B20" s="20">
        <v>18</v>
      </c>
      <c r="C20" s="4" t="s">
        <v>391</v>
      </c>
      <c r="D20" t="s">
        <v>15</v>
      </c>
      <c r="E20" t="s">
        <v>418</v>
      </c>
      <c r="F20" t="s">
        <v>401</v>
      </c>
      <c r="G20" t="s">
        <v>61</v>
      </c>
      <c r="H20">
        <v>4</v>
      </c>
      <c r="I20">
        <v>34</v>
      </c>
      <c r="J20">
        <v>12.23</v>
      </c>
      <c r="K20">
        <v>74</v>
      </c>
      <c r="L20">
        <v>5</v>
      </c>
      <c r="M20">
        <v>0.35</v>
      </c>
      <c r="N20" s="55">
        <f t="shared" si="0"/>
        <v>4.5700638888888889</v>
      </c>
      <c r="O20" s="55">
        <f t="shared" si="1"/>
        <v>74.083430555555552</v>
      </c>
      <c r="P20" t="str">
        <f t="shared" si="2"/>
        <v>4°34′12.23″N 74°5′0.35″W</v>
      </c>
      <c r="R20" s="4" t="s">
        <v>5</v>
      </c>
      <c r="S20" s="4">
        <f>+COUNTIF(D:D,R20)</f>
        <v>3</v>
      </c>
    </row>
    <row r="21" spans="1:19" x14ac:dyDescent="0.25">
      <c r="A21" s="4">
        <v>6340</v>
      </c>
      <c r="B21" s="20">
        <v>19</v>
      </c>
      <c r="C21" s="4" t="s">
        <v>391</v>
      </c>
      <c r="D21" t="s">
        <v>15</v>
      </c>
      <c r="E21" t="s">
        <v>538</v>
      </c>
      <c r="F21" t="s">
        <v>401</v>
      </c>
      <c r="G21" t="s">
        <v>61</v>
      </c>
      <c r="H21">
        <v>4</v>
      </c>
      <c r="I21">
        <v>34</v>
      </c>
      <c r="J21">
        <v>12.23</v>
      </c>
      <c r="K21">
        <v>74</v>
      </c>
      <c r="L21">
        <v>5</v>
      </c>
      <c r="M21">
        <v>0.35</v>
      </c>
      <c r="N21" s="55">
        <f t="shared" si="0"/>
        <v>4.5700638888888889</v>
      </c>
      <c r="O21" s="55">
        <f t="shared" si="1"/>
        <v>74.083430555555552</v>
      </c>
      <c r="P21" t="str">
        <f t="shared" si="2"/>
        <v>4°34′12.23″N 74°5′0.35″W</v>
      </c>
    </row>
    <row r="22" spans="1:19" x14ac:dyDescent="0.25">
      <c r="A22" s="4">
        <v>6968</v>
      </c>
      <c r="B22" s="20">
        <v>20</v>
      </c>
      <c r="C22" s="4" t="s">
        <v>390</v>
      </c>
      <c r="D22" t="s">
        <v>10</v>
      </c>
      <c r="E22" t="s">
        <v>430</v>
      </c>
      <c r="F22" t="s">
        <v>431</v>
      </c>
      <c r="G22" t="s">
        <v>60</v>
      </c>
      <c r="H22">
        <v>4</v>
      </c>
      <c r="I22">
        <v>32</v>
      </c>
      <c r="J22">
        <v>47.26</v>
      </c>
      <c r="K22">
        <v>74</v>
      </c>
      <c r="L22">
        <v>8</v>
      </c>
      <c r="M22">
        <v>14.95</v>
      </c>
      <c r="N22" s="55">
        <f t="shared" si="0"/>
        <v>4.5464611111111113</v>
      </c>
      <c r="O22" s="55">
        <f t="shared" si="1"/>
        <v>74.137486111111116</v>
      </c>
      <c r="P22" t="str">
        <f t="shared" si="2"/>
        <v>4°32′47.26″N 74°8′14.95″W</v>
      </c>
    </row>
    <row r="23" spans="1:19" x14ac:dyDescent="0.25">
      <c r="A23" s="4">
        <v>6399</v>
      </c>
      <c r="B23" s="20">
        <v>21</v>
      </c>
      <c r="C23" s="4" t="s">
        <v>391</v>
      </c>
      <c r="D23" t="s">
        <v>10</v>
      </c>
      <c r="E23" t="s">
        <v>434</v>
      </c>
      <c r="F23" t="s">
        <v>435</v>
      </c>
      <c r="G23" t="s">
        <v>60</v>
      </c>
      <c r="H23">
        <v>4</v>
      </c>
      <c r="I23">
        <v>34</v>
      </c>
      <c r="J23">
        <v>50.85</v>
      </c>
      <c r="K23">
        <v>74</v>
      </c>
      <c r="L23">
        <v>9</v>
      </c>
      <c r="M23">
        <v>15.73</v>
      </c>
      <c r="N23" s="55">
        <f t="shared" si="0"/>
        <v>4.5807916666666664</v>
      </c>
      <c r="O23" s="55">
        <f t="shared" si="1"/>
        <v>74.154369444444455</v>
      </c>
      <c r="P23" t="str">
        <f t="shared" si="2"/>
        <v>4°34′50.85″N 74°9′15.73″W</v>
      </c>
    </row>
    <row r="24" spans="1:19" x14ac:dyDescent="0.25">
      <c r="A24" s="4">
        <v>6438</v>
      </c>
      <c r="B24" s="20">
        <v>22</v>
      </c>
      <c r="C24" s="4" t="s">
        <v>391</v>
      </c>
      <c r="D24" t="s">
        <v>10</v>
      </c>
      <c r="E24" t="s">
        <v>436</v>
      </c>
      <c r="F24" t="s">
        <v>437</v>
      </c>
      <c r="G24" t="s">
        <v>60</v>
      </c>
      <c r="H24">
        <v>4</v>
      </c>
      <c r="I24">
        <v>35</v>
      </c>
      <c r="J24">
        <v>5.42</v>
      </c>
      <c r="K24">
        <v>74</v>
      </c>
      <c r="L24">
        <v>9</v>
      </c>
      <c r="M24">
        <v>23.86</v>
      </c>
      <c r="N24" s="55">
        <f t="shared" si="0"/>
        <v>4.5848388888888882</v>
      </c>
      <c r="O24" s="55">
        <f t="shared" si="1"/>
        <v>74.156627777777786</v>
      </c>
      <c r="P24" t="str">
        <f t="shared" si="2"/>
        <v>4°35′5.42″N 74°9′23.86″W</v>
      </c>
    </row>
    <row r="25" spans="1:19" x14ac:dyDescent="0.25">
      <c r="A25" s="4">
        <v>6403</v>
      </c>
      <c r="B25" s="20">
        <v>23</v>
      </c>
      <c r="C25" s="4" t="s">
        <v>391</v>
      </c>
      <c r="D25" t="s">
        <v>10</v>
      </c>
      <c r="E25" t="s">
        <v>438</v>
      </c>
      <c r="F25" t="s">
        <v>439</v>
      </c>
      <c r="G25" t="s">
        <v>60</v>
      </c>
      <c r="H25">
        <v>4</v>
      </c>
      <c r="I25">
        <v>34</v>
      </c>
      <c r="J25">
        <v>2.39</v>
      </c>
      <c r="K25">
        <v>74</v>
      </c>
      <c r="L25">
        <v>8</v>
      </c>
      <c r="M25">
        <v>32.869999999999997</v>
      </c>
      <c r="N25" s="55">
        <f t="shared" si="0"/>
        <v>4.5673305555555554</v>
      </c>
      <c r="O25" s="55">
        <f t="shared" si="1"/>
        <v>74.142463888888898</v>
      </c>
      <c r="P25" t="str">
        <f t="shared" si="2"/>
        <v>4°34′2.39″N 74°8′32.87″W</v>
      </c>
    </row>
    <row r="26" spans="1:19" x14ac:dyDescent="0.25">
      <c r="A26" s="4">
        <v>7033</v>
      </c>
      <c r="B26" s="20">
        <v>24</v>
      </c>
      <c r="C26" s="4" t="s">
        <v>390</v>
      </c>
      <c r="D26" t="s">
        <v>6</v>
      </c>
      <c r="E26" t="s">
        <v>513</v>
      </c>
      <c r="F26" t="s">
        <v>514</v>
      </c>
      <c r="G26" t="s">
        <v>60</v>
      </c>
      <c r="H26">
        <v>4</v>
      </c>
      <c r="I26">
        <v>35</v>
      </c>
      <c r="J26">
        <v>25.93</v>
      </c>
      <c r="K26">
        <v>74</v>
      </c>
      <c r="L26">
        <v>7</v>
      </c>
      <c r="M26">
        <v>23.94</v>
      </c>
      <c r="N26" s="55">
        <f t="shared" si="0"/>
        <v>4.5905361111111107</v>
      </c>
      <c r="O26" s="55">
        <f t="shared" si="1"/>
        <v>74.123316666666653</v>
      </c>
      <c r="P26" t="str">
        <f t="shared" si="2"/>
        <v>4°35′25.93″N 74°7′23.94″W</v>
      </c>
    </row>
    <row r="27" spans="1:19" x14ac:dyDescent="0.25">
      <c r="A27" s="4">
        <v>6564</v>
      </c>
      <c r="B27" s="20">
        <v>25</v>
      </c>
      <c r="C27" s="4" t="s">
        <v>391</v>
      </c>
      <c r="D27" t="s">
        <v>10</v>
      </c>
      <c r="E27" t="s">
        <v>522</v>
      </c>
      <c r="F27" t="s">
        <v>523</v>
      </c>
      <c r="G27" t="s">
        <v>60</v>
      </c>
      <c r="H27">
        <v>4</v>
      </c>
      <c r="I27">
        <v>35</v>
      </c>
      <c r="J27">
        <v>41.47</v>
      </c>
      <c r="K27">
        <v>74</v>
      </c>
      <c r="L27">
        <v>9</v>
      </c>
      <c r="M27">
        <v>37.54</v>
      </c>
      <c r="N27" s="55">
        <f t="shared" si="0"/>
        <v>4.5948527777777777</v>
      </c>
      <c r="O27" s="55">
        <f t="shared" si="1"/>
        <v>74.160427777777784</v>
      </c>
      <c r="P27" t="str">
        <f t="shared" si="2"/>
        <v>4°35′41.47″N 74°9′37.54″W</v>
      </c>
    </row>
    <row r="28" spans="1:19" x14ac:dyDescent="0.25">
      <c r="A28" s="4">
        <v>7049</v>
      </c>
      <c r="B28" s="20">
        <v>26</v>
      </c>
      <c r="C28" s="4" t="s">
        <v>390</v>
      </c>
      <c r="D28" t="s">
        <v>0</v>
      </c>
      <c r="E28" t="s">
        <v>534</v>
      </c>
      <c r="F28" t="s">
        <v>535</v>
      </c>
      <c r="G28" t="s">
        <v>60</v>
      </c>
      <c r="H28">
        <v>4</v>
      </c>
      <c r="I28">
        <v>35</v>
      </c>
      <c r="J28">
        <v>34.28</v>
      </c>
      <c r="K28">
        <v>74</v>
      </c>
      <c r="L28">
        <v>8</v>
      </c>
      <c r="M28">
        <v>27.92</v>
      </c>
      <c r="N28" s="55">
        <f t="shared" si="0"/>
        <v>4.5928555555555555</v>
      </c>
      <c r="O28" s="55">
        <f t="shared" si="1"/>
        <v>74.141088888888902</v>
      </c>
      <c r="P28" t="str">
        <f t="shared" si="2"/>
        <v>4°35′34.28″N 74°8′27.92″W</v>
      </c>
    </row>
    <row r="29" spans="1:19" x14ac:dyDescent="0.25">
      <c r="A29" s="4">
        <v>6560</v>
      </c>
      <c r="B29" s="20">
        <v>27</v>
      </c>
      <c r="C29" s="4" t="s">
        <v>391</v>
      </c>
      <c r="D29" t="s">
        <v>10</v>
      </c>
      <c r="E29" t="s">
        <v>436</v>
      </c>
      <c r="F29" t="s">
        <v>542</v>
      </c>
      <c r="G29" t="s">
        <v>60</v>
      </c>
      <c r="H29">
        <v>4</v>
      </c>
      <c r="I29">
        <v>35</v>
      </c>
      <c r="J29">
        <v>5.42</v>
      </c>
      <c r="K29">
        <v>74</v>
      </c>
      <c r="L29">
        <v>9</v>
      </c>
      <c r="M29">
        <v>23.86</v>
      </c>
      <c r="N29" s="55">
        <f t="shared" ref="N29:N38" si="3">H29+(I29/60)+(J29/3600)</f>
        <v>4.5848388888888882</v>
      </c>
      <c r="O29" s="55">
        <f t="shared" ref="O29:O38" si="4">K29+(L29/60)+(M29/3600)</f>
        <v>74.156627777777786</v>
      </c>
      <c r="P29" t="str">
        <f t="shared" si="2"/>
        <v>4°35′5.42″N 74°9′23.86″W</v>
      </c>
    </row>
    <row r="30" spans="1:19" x14ac:dyDescent="0.25">
      <c r="A30" s="4">
        <v>6437</v>
      </c>
      <c r="B30" s="20">
        <v>28</v>
      </c>
      <c r="C30" s="4" t="s">
        <v>391</v>
      </c>
      <c r="D30" t="s">
        <v>15</v>
      </c>
      <c r="E30" t="s">
        <v>420</v>
      </c>
      <c r="F30" t="s">
        <v>421</v>
      </c>
      <c r="G30" t="s">
        <v>60</v>
      </c>
      <c r="H30">
        <v>4</v>
      </c>
      <c r="I30">
        <v>34</v>
      </c>
      <c r="J30">
        <v>6.42</v>
      </c>
      <c r="K30">
        <v>74</v>
      </c>
      <c r="L30">
        <v>6</v>
      </c>
      <c r="M30">
        <v>3.21</v>
      </c>
      <c r="N30" s="55">
        <f t="shared" si="3"/>
        <v>4.5684499999999995</v>
      </c>
      <c r="O30" s="55">
        <f t="shared" si="4"/>
        <v>74.100891666666655</v>
      </c>
      <c r="P30" t="str">
        <f t="shared" si="2"/>
        <v>4°34′6.42″N 74°6′3.21″W</v>
      </c>
    </row>
    <row r="31" spans="1:19" x14ac:dyDescent="0.25">
      <c r="A31" s="4">
        <v>7064</v>
      </c>
      <c r="B31" s="20">
        <v>29</v>
      </c>
      <c r="C31" s="4" t="s">
        <v>390</v>
      </c>
      <c r="D31" t="s">
        <v>0</v>
      </c>
      <c r="E31" t="s">
        <v>418</v>
      </c>
      <c r="F31" t="s">
        <v>541</v>
      </c>
      <c r="G31" t="s">
        <v>60</v>
      </c>
      <c r="H31">
        <v>4</v>
      </c>
      <c r="I31">
        <v>34</v>
      </c>
      <c r="J31">
        <v>18.600000000000001</v>
      </c>
      <c r="K31">
        <v>74</v>
      </c>
      <c r="L31">
        <v>7</v>
      </c>
      <c r="M31">
        <v>42.17</v>
      </c>
      <c r="N31" s="55">
        <f t="shared" si="3"/>
        <v>4.5718333333333332</v>
      </c>
      <c r="O31" s="55">
        <f t="shared" si="4"/>
        <v>74.128380555555552</v>
      </c>
      <c r="P31" t="str">
        <f t="shared" si="2"/>
        <v>4°34′18.6″N 74°7′42.17″W</v>
      </c>
    </row>
    <row r="32" spans="1:19" x14ac:dyDescent="0.25">
      <c r="A32" s="4">
        <v>6926</v>
      </c>
      <c r="B32" s="20">
        <v>30</v>
      </c>
      <c r="C32" s="4" t="s">
        <v>390</v>
      </c>
      <c r="D32" t="s">
        <v>10</v>
      </c>
      <c r="E32" t="s">
        <v>422</v>
      </c>
      <c r="F32" t="s">
        <v>423</v>
      </c>
      <c r="G32" t="s">
        <v>60</v>
      </c>
      <c r="H32">
        <v>4</v>
      </c>
      <c r="I32">
        <v>34</v>
      </c>
      <c r="J32">
        <v>49.13</v>
      </c>
      <c r="K32">
        <v>74</v>
      </c>
      <c r="L32">
        <v>9</v>
      </c>
      <c r="M32">
        <v>19.18</v>
      </c>
      <c r="N32" s="55">
        <f t="shared" si="3"/>
        <v>4.580313888888889</v>
      </c>
      <c r="O32" s="55">
        <f t="shared" si="4"/>
        <v>74.155327777777785</v>
      </c>
      <c r="P32" t="str">
        <f t="shared" si="2"/>
        <v>4°34′49.13″N 74°9′19.18″W</v>
      </c>
    </row>
    <row r="33" spans="1:18" x14ac:dyDescent="0.25">
      <c r="A33" s="4">
        <v>7063</v>
      </c>
      <c r="B33" s="20">
        <v>31</v>
      </c>
      <c r="C33" s="4" t="s">
        <v>390</v>
      </c>
      <c r="D33" t="s">
        <v>0</v>
      </c>
      <c r="E33" t="s">
        <v>426</v>
      </c>
      <c r="F33" t="s">
        <v>427</v>
      </c>
      <c r="G33" t="s">
        <v>60</v>
      </c>
      <c r="H33">
        <v>4</v>
      </c>
      <c r="I33">
        <v>34</v>
      </c>
      <c r="J33">
        <v>41.47</v>
      </c>
      <c r="K33">
        <v>74</v>
      </c>
      <c r="L33">
        <v>7</v>
      </c>
      <c r="M33">
        <v>51.63</v>
      </c>
      <c r="N33" s="55">
        <f t="shared" si="3"/>
        <v>4.5781861111111111</v>
      </c>
      <c r="O33" s="55">
        <f t="shared" si="4"/>
        <v>74.131008333333327</v>
      </c>
      <c r="P33" t="str">
        <f t="shared" si="2"/>
        <v>4°34′41.47″N 74°7′51.63″W</v>
      </c>
    </row>
    <row r="34" spans="1:18" x14ac:dyDescent="0.25">
      <c r="A34" s="4">
        <v>7036</v>
      </c>
      <c r="B34" s="20">
        <v>32</v>
      </c>
      <c r="C34" s="4" t="s">
        <v>390</v>
      </c>
      <c r="D34" t="s">
        <v>0</v>
      </c>
      <c r="E34" t="s">
        <v>432</v>
      </c>
      <c r="F34" t="s">
        <v>433</v>
      </c>
      <c r="G34" t="s">
        <v>60</v>
      </c>
      <c r="H34">
        <v>4</v>
      </c>
      <c r="I34">
        <v>35</v>
      </c>
      <c r="J34">
        <v>25.49</v>
      </c>
      <c r="K34">
        <v>74</v>
      </c>
      <c r="L34">
        <v>8</v>
      </c>
      <c r="M34">
        <v>18.14</v>
      </c>
      <c r="N34" s="55">
        <f t="shared" si="3"/>
        <v>4.5904138888888886</v>
      </c>
      <c r="O34" s="55">
        <f t="shared" si="4"/>
        <v>74.13837222222223</v>
      </c>
      <c r="P34" t="str">
        <f t="shared" si="2"/>
        <v>4°35′25.49″N 74°8′18.14″W</v>
      </c>
    </row>
    <row r="35" spans="1:18" x14ac:dyDescent="0.25">
      <c r="A35" s="4">
        <v>6406</v>
      </c>
      <c r="B35" s="20">
        <v>33</v>
      </c>
      <c r="C35" s="4" t="s">
        <v>391</v>
      </c>
      <c r="D35" t="s">
        <v>0</v>
      </c>
      <c r="E35" t="s">
        <v>424</v>
      </c>
      <c r="F35" t="s">
        <v>425</v>
      </c>
      <c r="G35" t="s">
        <v>60</v>
      </c>
      <c r="H35">
        <v>4</v>
      </c>
      <c r="I35">
        <v>34</v>
      </c>
      <c r="J35">
        <v>35.78</v>
      </c>
      <c r="K35">
        <v>74</v>
      </c>
      <c r="L35">
        <v>7</v>
      </c>
      <c r="M35">
        <v>35.200000000000003</v>
      </c>
      <c r="N35" s="55">
        <f t="shared" si="3"/>
        <v>4.5766055555555551</v>
      </c>
      <c r="O35" s="55">
        <f t="shared" si="4"/>
        <v>74.126444444444431</v>
      </c>
      <c r="P35" t="str">
        <f t="shared" si="2"/>
        <v>4°34′35.78″N 74°7′35.2″W</v>
      </c>
    </row>
    <row r="36" spans="1:18" x14ac:dyDescent="0.25">
      <c r="A36" s="4">
        <v>5179</v>
      </c>
      <c r="B36" s="20">
        <v>34</v>
      </c>
      <c r="C36" s="4" t="s">
        <v>391</v>
      </c>
      <c r="D36" t="s">
        <v>6</v>
      </c>
      <c r="E36" t="s">
        <v>442</v>
      </c>
      <c r="F36" t="s">
        <v>443</v>
      </c>
      <c r="G36" t="s">
        <v>60</v>
      </c>
      <c r="H36">
        <v>4</v>
      </c>
      <c r="I36">
        <v>35</v>
      </c>
      <c r="J36">
        <v>43.38</v>
      </c>
      <c r="K36">
        <v>74</v>
      </c>
      <c r="L36">
        <v>8</v>
      </c>
      <c r="M36">
        <v>45.42</v>
      </c>
      <c r="N36" s="55">
        <f t="shared" si="3"/>
        <v>4.5953833333333334</v>
      </c>
      <c r="O36" s="55">
        <f t="shared" si="4"/>
        <v>74.145950000000013</v>
      </c>
      <c r="P36" t="str">
        <f t="shared" si="2"/>
        <v>4°35′43.38″N 74°8′45.42″W</v>
      </c>
    </row>
    <row r="37" spans="1:18" x14ac:dyDescent="0.25">
      <c r="A37" s="4">
        <v>6562</v>
      </c>
      <c r="B37" s="20">
        <v>35</v>
      </c>
      <c r="C37" s="4" t="s">
        <v>391</v>
      </c>
      <c r="D37" t="s">
        <v>0</v>
      </c>
      <c r="E37" t="s">
        <v>511</v>
      </c>
      <c r="F37" t="s">
        <v>512</v>
      </c>
      <c r="G37" t="s">
        <v>60</v>
      </c>
      <c r="H37">
        <v>4</v>
      </c>
      <c r="I37">
        <v>35</v>
      </c>
      <c r="J37">
        <v>28.5</v>
      </c>
      <c r="K37">
        <v>74</v>
      </c>
      <c r="L37">
        <v>8</v>
      </c>
      <c r="M37">
        <v>9.4</v>
      </c>
      <c r="N37" s="55">
        <f t="shared" si="3"/>
        <v>4.5912499999999996</v>
      </c>
      <c r="O37" s="55">
        <f t="shared" si="4"/>
        <v>74.135944444444448</v>
      </c>
      <c r="P37" t="str">
        <f t="shared" si="2"/>
        <v>4°35′28.5″N 74°8′9.4″W</v>
      </c>
    </row>
    <row r="38" spans="1:18" x14ac:dyDescent="0.25">
      <c r="A38" s="4">
        <v>6937</v>
      </c>
      <c r="B38" s="20">
        <v>36</v>
      </c>
      <c r="C38" s="4" t="s">
        <v>391</v>
      </c>
      <c r="D38" t="s">
        <v>0</v>
      </c>
      <c r="E38" t="s">
        <v>428</v>
      </c>
      <c r="F38" t="s">
        <v>429</v>
      </c>
      <c r="G38" t="s">
        <v>146</v>
      </c>
      <c r="H38">
        <v>4</v>
      </c>
      <c r="I38">
        <v>35</v>
      </c>
      <c r="J38">
        <v>42.2</v>
      </c>
      <c r="K38">
        <v>74</v>
      </c>
      <c r="L38">
        <v>9</v>
      </c>
      <c r="M38">
        <v>5.74</v>
      </c>
      <c r="N38" s="55">
        <f t="shared" si="3"/>
        <v>4.5950555555555557</v>
      </c>
      <c r="O38" s="55">
        <f t="shared" si="4"/>
        <v>74.151594444444456</v>
      </c>
      <c r="P38" t="str">
        <f t="shared" si="2"/>
        <v>4°35′42.2″N 74°9′5.74″W</v>
      </c>
    </row>
    <row r="39" spans="1:18" x14ac:dyDescent="0.25">
      <c r="A39" s="4">
        <v>7052</v>
      </c>
      <c r="B39" s="20">
        <v>37</v>
      </c>
      <c r="C39" s="4" t="s">
        <v>390</v>
      </c>
      <c r="D39" t="s">
        <v>1</v>
      </c>
      <c r="E39" t="s">
        <v>446</v>
      </c>
      <c r="F39" t="s">
        <v>447</v>
      </c>
      <c r="G39" t="s">
        <v>146</v>
      </c>
      <c r="H39">
        <v>4</v>
      </c>
      <c r="I39">
        <v>35</v>
      </c>
      <c r="J39">
        <v>54.74</v>
      </c>
      <c r="K39">
        <v>74</v>
      </c>
      <c r="L39">
        <v>10</v>
      </c>
      <c r="M39">
        <v>36.11</v>
      </c>
      <c r="N39" s="55">
        <f>H39+(I39/60)+(J39/3600)</f>
        <v>4.5985388888888883</v>
      </c>
      <c r="O39" s="55">
        <f>K39+(L39/60)+(M39/3600)</f>
        <v>74.176697222222231</v>
      </c>
      <c r="P39" t="str">
        <f t="shared" si="2"/>
        <v>4°35′54.74″N 74°10′36.11″W</v>
      </c>
    </row>
    <row r="40" spans="1:18" x14ac:dyDescent="0.25">
      <c r="A40" s="4">
        <v>6939</v>
      </c>
      <c r="B40" s="20">
        <v>38</v>
      </c>
      <c r="C40" s="4" t="s">
        <v>390</v>
      </c>
      <c r="D40" t="s">
        <v>7</v>
      </c>
      <c r="E40" t="s">
        <v>449</v>
      </c>
      <c r="F40" t="s">
        <v>450</v>
      </c>
      <c r="G40" t="s">
        <v>146</v>
      </c>
      <c r="H40">
        <v>4</v>
      </c>
      <c r="I40">
        <v>36</v>
      </c>
      <c r="J40">
        <v>26.22</v>
      </c>
      <c r="K40">
        <v>74</v>
      </c>
      <c r="L40">
        <v>7</v>
      </c>
      <c r="M40">
        <v>28.99</v>
      </c>
      <c r="N40" s="55">
        <f>H40+(I40/60)+(J40/3600)</f>
        <v>4.6072833333333332</v>
      </c>
      <c r="O40" s="55">
        <f>K40+(L40/60)+(M40/3600)</f>
        <v>74.124719444444437</v>
      </c>
      <c r="P40" t="str">
        <f t="shared" si="2"/>
        <v>4°36′26.22″N 74°7′28.99″W</v>
      </c>
    </row>
    <row r="41" spans="1:18" x14ac:dyDescent="0.25">
      <c r="A41" s="4">
        <v>6899</v>
      </c>
      <c r="B41" s="20">
        <v>39</v>
      </c>
      <c r="D41" t="s">
        <v>10</v>
      </c>
      <c r="E41" t="s">
        <v>451</v>
      </c>
      <c r="F41" t="s">
        <v>452</v>
      </c>
      <c r="G41" t="s">
        <v>146</v>
      </c>
      <c r="H41">
        <v>4</v>
      </c>
      <c r="I41">
        <v>35</v>
      </c>
      <c r="J41">
        <v>49.62</v>
      </c>
      <c r="K41">
        <v>74</v>
      </c>
      <c r="L41">
        <v>9</v>
      </c>
      <c r="M41">
        <v>8.9600000000000009</v>
      </c>
      <c r="N41" s="55">
        <f>H41+(I41/60)+(J41/3600)</f>
        <v>4.5971166666666665</v>
      </c>
      <c r="O41" s="55">
        <f>K41+(L41/60)+(M41/3600)</f>
        <v>74.152488888888897</v>
      </c>
      <c r="P41" t="str">
        <f t="shared" si="2"/>
        <v>4°35′49.62″N 74°9′8.96″W</v>
      </c>
    </row>
    <row r="42" spans="1:18" x14ac:dyDescent="0.25">
      <c r="A42" s="4">
        <v>6900</v>
      </c>
      <c r="B42" s="20">
        <v>40</v>
      </c>
      <c r="C42" s="4" t="s">
        <v>391</v>
      </c>
      <c r="D42" t="s">
        <v>17</v>
      </c>
      <c r="E42" t="s">
        <v>453</v>
      </c>
      <c r="F42" t="s">
        <v>454</v>
      </c>
      <c r="G42" t="s">
        <v>146</v>
      </c>
      <c r="H42">
        <v>4</v>
      </c>
      <c r="I42">
        <v>37</v>
      </c>
      <c r="J42">
        <v>7.88</v>
      </c>
      <c r="K42">
        <v>74</v>
      </c>
      <c r="L42">
        <v>8</v>
      </c>
      <c r="M42">
        <v>6.82</v>
      </c>
      <c r="N42" s="55">
        <f>H42+(I42/60)+(J42/3600)</f>
        <v>4.6188555555555562</v>
      </c>
      <c r="O42" s="55">
        <f>K42+(L42/60)+(M42/3600)</f>
        <v>74.135227777777786</v>
      </c>
      <c r="P42" t="str">
        <f t="shared" si="2"/>
        <v>4°37′7.88″N 74°8′6.82″W</v>
      </c>
    </row>
    <row r="43" spans="1:18" x14ac:dyDescent="0.25">
      <c r="A43" s="4">
        <v>6992</v>
      </c>
      <c r="B43" s="20">
        <v>41</v>
      </c>
      <c r="C43" s="4" t="s">
        <v>391</v>
      </c>
      <c r="D43" t="s">
        <v>17</v>
      </c>
      <c r="E43" t="s">
        <v>457</v>
      </c>
      <c r="F43" t="s">
        <v>458</v>
      </c>
      <c r="G43" t="s">
        <v>146</v>
      </c>
      <c r="H43">
        <v>4</v>
      </c>
      <c r="I43">
        <v>39</v>
      </c>
      <c r="J43">
        <v>12.13</v>
      </c>
      <c r="K43">
        <v>74</v>
      </c>
      <c r="L43">
        <v>8</v>
      </c>
      <c r="M43">
        <v>31.37</v>
      </c>
      <c r="N43" s="55">
        <f>H43+(I43/60)+(J43/3600)</f>
        <v>4.6533694444444444</v>
      </c>
      <c r="O43" s="55">
        <f>K43+(L43/60)+(M43/3600)</f>
        <v>74.142047222222232</v>
      </c>
      <c r="P43" t="str">
        <f t="shared" si="2"/>
        <v>4°39′12.13″N 74°8′31.37″W</v>
      </c>
    </row>
    <row r="44" spans="1:18" x14ac:dyDescent="0.25">
      <c r="A44" s="4">
        <v>6932</v>
      </c>
      <c r="B44" s="20">
        <v>42</v>
      </c>
      <c r="C44" s="4" t="s">
        <v>391</v>
      </c>
      <c r="D44" t="s">
        <v>7</v>
      </c>
      <c r="E44" t="s">
        <v>461</v>
      </c>
      <c r="F44" t="s">
        <v>462</v>
      </c>
      <c r="G44" t="s">
        <v>146</v>
      </c>
      <c r="H44">
        <v>4</v>
      </c>
      <c r="I44">
        <v>37</v>
      </c>
      <c r="J44">
        <v>21.7</v>
      </c>
      <c r="K44">
        <v>74</v>
      </c>
      <c r="L44">
        <v>7</v>
      </c>
      <c r="M44">
        <v>27.84</v>
      </c>
      <c r="N44" s="55">
        <f>H44+(I44/60)+(J44/3600)</f>
        <v>4.6226944444444449</v>
      </c>
      <c r="O44" s="55">
        <f>K44+(L44/60)+(M44/3600)</f>
        <v>74.124399999999994</v>
      </c>
      <c r="P44" t="str">
        <f t="shared" si="2"/>
        <v>4°37′21.7″N 74°7′27.84″W</v>
      </c>
    </row>
    <row r="45" spans="1:18" x14ac:dyDescent="0.25">
      <c r="A45" s="4">
        <v>6929</v>
      </c>
      <c r="B45" s="20">
        <v>43</v>
      </c>
      <c r="D45" t="s">
        <v>1</v>
      </c>
      <c r="E45" t="s">
        <v>463</v>
      </c>
      <c r="F45" t="s">
        <v>464</v>
      </c>
      <c r="G45" t="s">
        <v>146</v>
      </c>
      <c r="H45">
        <v>4</v>
      </c>
      <c r="I45">
        <v>37</v>
      </c>
      <c r="J45">
        <v>36.01</v>
      </c>
      <c r="K45">
        <v>74</v>
      </c>
      <c r="L45">
        <v>10</v>
      </c>
      <c r="M45">
        <v>39.19</v>
      </c>
      <c r="N45" s="55">
        <f>H45+(I45/60)+(J45/3600)</f>
        <v>4.6266694444444445</v>
      </c>
      <c r="O45" s="55">
        <f>K45+(L45/60)+(M45/3600)</f>
        <v>74.177552777777777</v>
      </c>
      <c r="P45" t="str">
        <f t="shared" si="2"/>
        <v>4°37′36.01″N 74°10′39.19″W</v>
      </c>
    </row>
    <row r="46" spans="1:18" x14ac:dyDescent="0.25">
      <c r="A46" s="4">
        <v>6856</v>
      </c>
      <c r="B46" s="20">
        <v>44</v>
      </c>
      <c r="C46" s="4" t="s">
        <v>390</v>
      </c>
      <c r="D46" t="s">
        <v>7</v>
      </c>
      <c r="E46" t="s">
        <v>499</v>
      </c>
      <c r="F46" t="s">
        <v>500</v>
      </c>
      <c r="G46" t="s">
        <v>146</v>
      </c>
      <c r="H46">
        <v>4</v>
      </c>
      <c r="I46">
        <v>37</v>
      </c>
      <c r="J46">
        <v>42.67</v>
      </c>
      <c r="K46">
        <v>74</v>
      </c>
      <c r="L46">
        <v>6</v>
      </c>
      <c r="M46">
        <v>50.52</v>
      </c>
      <c r="N46" s="55">
        <f>H46+(I46/60)+(J46/3600)</f>
        <v>4.6285194444444446</v>
      </c>
      <c r="O46" s="55">
        <f>K46+(L46/60)+(M46/3600)</f>
        <v>74.114033333333325</v>
      </c>
      <c r="P46" t="str">
        <f t="shared" si="2"/>
        <v>4°37′42.67″N 74°6′50.52″W</v>
      </c>
    </row>
    <row r="47" spans="1:18" x14ac:dyDescent="0.25">
      <c r="A47" s="4">
        <v>6902</v>
      </c>
      <c r="B47" s="20">
        <v>45</v>
      </c>
      <c r="C47" s="4" t="s">
        <v>391</v>
      </c>
      <c r="D47" t="s">
        <v>18</v>
      </c>
      <c r="E47" t="s">
        <v>501</v>
      </c>
      <c r="F47" t="s">
        <v>502</v>
      </c>
      <c r="G47" t="s">
        <v>146</v>
      </c>
      <c r="H47">
        <v>4</v>
      </c>
      <c r="I47">
        <v>39</v>
      </c>
      <c r="J47">
        <v>6</v>
      </c>
      <c r="K47">
        <v>74</v>
      </c>
      <c r="L47">
        <v>7</v>
      </c>
      <c r="M47">
        <v>31.78</v>
      </c>
      <c r="N47" s="55">
        <f>H47+(I47/60)+(J47/3600)</f>
        <v>4.6516666666666673</v>
      </c>
      <c r="O47" s="55">
        <f>K47+(L47/60)+(M47/3600)</f>
        <v>74.125494444444442</v>
      </c>
      <c r="P47" t="str">
        <f t="shared" si="2"/>
        <v>4°39′6″N 74°7′31.78″W</v>
      </c>
      <c r="R47" s="57"/>
    </row>
    <row r="48" spans="1:18" s="57" customFormat="1" x14ac:dyDescent="0.25">
      <c r="A48" s="56">
        <v>6903</v>
      </c>
      <c r="B48" s="20">
        <v>46</v>
      </c>
      <c r="C48" s="56" t="s">
        <v>391</v>
      </c>
      <c r="D48" s="57" t="s">
        <v>16</v>
      </c>
      <c r="E48" s="57" t="s">
        <v>509</v>
      </c>
      <c r="F48" s="57" t="s">
        <v>510</v>
      </c>
      <c r="G48" s="57" t="s">
        <v>146</v>
      </c>
      <c r="H48" s="57">
        <v>4</v>
      </c>
      <c r="I48" s="57">
        <v>31</v>
      </c>
      <c r="J48" s="57">
        <v>58.76</v>
      </c>
      <c r="K48" s="57">
        <v>74</v>
      </c>
      <c r="L48" s="57">
        <v>7</v>
      </c>
      <c r="M48" s="57">
        <v>2.76</v>
      </c>
      <c r="N48" s="58">
        <f>H48+(I48/60)+(J48/3600)</f>
        <v>4.5329888888888892</v>
      </c>
      <c r="O48" s="58">
        <f>K48+(L48/60)+(M48/3600)</f>
        <v>74.117433333333324</v>
      </c>
      <c r="P48" t="str">
        <f t="shared" si="2"/>
        <v>4°31′58.76″N 74°7′2.76″W</v>
      </c>
      <c r="R48"/>
    </row>
    <row r="49" spans="1:16" x14ac:dyDescent="0.25">
      <c r="A49" s="4">
        <v>6942</v>
      </c>
      <c r="B49" s="20">
        <v>47</v>
      </c>
      <c r="C49" s="4" t="s">
        <v>390</v>
      </c>
      <c r="D49" t="s">
        <v>18</v>
      </c>
      <c r="E49" t="s">
        <v>517</v>
      </c>
      <c r="F49" t="s">
        <v>518</v>
      </c>
      <c r="G49" t="s">
        <v>146</v>
      </c>
      <c r="H49">
        <v>4</v>
      </c>
      <c r="I49">
        <v>39</v>
      </c>
      <c r="J49">
        <v>49.43</v>
      </c>
      <c r="K49">
        <v>74</v>
      </c>
      <c r="L49">
        <v>7</v>
      </c>
      <c r="M49">
        <v>49.75</v>
      </c>
      <c r="N49" s="55">
        <f t="shared" ref="N49:N62" si="5">H49+(I49/60)+(J49/3600)</f>
        <v>4.6637305555555555</v>
      </c>
      <c r="O49" s="55">
        <f t="shared" ref="O49:O62" si="6">K49+(L49/60)+(M49/3600)</f>
        <v>74.130486111111111</v>
      </c>
      <c r="P49" t="str">
        <f t="shared" si="2"/>
        <v>4°39′49.43″N 74°7′49.75″W</v>
      </c>
    </row>
    <row r="50" spans="1:16" x14ac:dyDescent="0.25">
      <c r="A50" s="4">
        <v>6855</v>
      </c>
      <c r="B50" s="20">
        <v>48</v>
      </c>
      <c r="C50" s="4" t="s">
        <v>390</v>
      </c>
      <c r="D50" t="s">
        <v>17</v>
      </c>
      <c r="E50" t="s">
        <v>526</v>
      </c>
      <c r="F50" t="s">
        <v>527</v>
      </c>
      <c r="G50" t="s">
        <v>146</v>
      </c>
      <c r="H50">
        <v>4</v>
      </c>
      <c r="I50">
        <v>37</v>
      </c>
      <c r="J50">
        <v>11.84</v>
      </c>
      <c r="K50">
        <v>74</v>
      </c>
      <c r="L50">
        <v>9</v>
      </c>
      <c r="M50">
        <v>32.36</v>
      </c>
      <c r="N50" s="55">
        <f t="shared" si="5"/>
        <v>4.6199555555555563</v>
      </c>
      <c r="O50" s="55">
        <f t="shared" si="6"/>
        <v>74.158988888888899</v>
      </c>
      <c r="P50" t="str">
        <f t="shared" si="2"/>
        <v>4°37′11.84″N 74°9′32.36″W</v>
      </c>
    </row>
    <row r="51" spans="1:16" x14ac:dyDescent="0.25">
      <c r="A51" s="4">
        <v>6897</v>
      </c>
      <c r="B51" s="20">
        <v>49</v>
      </c>
      <c r="C51" s="4" t="s">
        <v>391</v>
      </c>
      <c r="D51" t="s">
        <v>18</v>
      </c>
      <c r="E51" t="s">
        <v>455</v>
      </c>
      <c r="F51" t="s">
        <v>456</v>
      </c>
      <c r="G51" t="s">
        <v>146</v>
      </c>
      <c r="H51">
        <v>4</v>
      </c>
      <c r="I51">
        <v>40</v>
      </c>
      <c r="J51">
        <v>41.69</v>
      </c>
      <c r="K51">
        <v>74</v>
      </c>
      <c r="L51">
        <v>8</v>
      </c>
      <c r="M51">
        <v>37.74</v>
      </c>
      <c r="N51" s="55">
        <f t="shared" si="5"/>
        <v>4.6782472222222227</v>
      </c>
      <c r="O51" s="55">
        <f t="shared" si="6"/>
        <v>74.14381666666668</v>
      </c>
      <c r="P51" t="str">
        <f t="shared" si="2"/>
        <v>4°40′41.69″N 74°8′37.74″W</v>
      </c>
    </row>
    <row r="52" spans="1:16" x14ac:dyDescent="0.25">
      <c r="A52" s="4">
        <v>6934</v>
      </c>
      <c r="B52" s="20">
        <v>50</v>
      </c>
      <c r="C52" s="4" t="s">
        <v>391</v>
      </c>
      <c r="D52" t="s">
        <v>1</v>
      </c>
      <c r="E52" t="s">
        <v>459</v>
      </c>
      <c r="F52" t="s">
        <v>460</v>
      </c>
      <c r="G52" t="s">
        <v>146</v>
      </c>
      <c r="H52">
        <v>4</v>
      </c>
      <c r="I52">
        <v>37</v>
      </c>
      <c r="J52">
        <v>49.33</v>
      </c>
      <c r="K52">
        <v>74</v>
      </c>
      <c r="L52">
        <v>11</v>
      </c>
      <c r="M52">
        <v>37.53</v>
      </c>
      <c r="N52" s="55">
        <f t="shared" si="5"/>
        <v>4.6303694444444448</v>
      </c>
      <c r="O52" s="55">
        <f t="shared" si="6"/>
        <v>74.193758333333335</v>
      </c>
      <c r="P52" t="str">
        <f t="shared" si="2"/>
        <v>4°37′49.33″N 74°11′37.53″W</v>
      </c>
    </row>
    <row r="53" spans="1:16" x14ac:dyDescent="0.25">
      <c r="A53" s="4">
        <v>6935</v>
      </c>
      <c r="B53" s="20">
        <v>51</v>
      </c>
      <c r="C53" s="4" t="s">
        <v>391</v>
      </c>
      <c r="D53" t="s">
        <v>2</v>
      </c>
      <c r="E53" t="s">
        <v>467</v>
      </c>
      <c r="F53" t="s">
        <v>468</v>
      </c>
      <c r="G53" t="s">
        <v>146</v>
      </c>
      <c r="H53">
        <v>4</v>
      </c>
      <c r="I53">
        <v>40</v>
      </c>
      <c r="J53">
        <v>37.81</v>
      </c>
      <c r="K53">
        <v>74</v>
      </c>
      <c r="L53">
        <v>7</v>
      </c>
      <c r="M53">
        <v>0.37</v>
      </c>
      <c r="N53" s="55">
        <f t="shared" si="5"/>
        <v>4.6771694444444449</v>
      </c>
      <c r="O53" s="55">
        <f t="shared" si="6"/>
        <v>74.116769444444444</v>
      </c>
      <c r="P53" t="str">
        <f t="shared" si="2"/>
        <v>4°40′37.81″N 74°7′0.37″W</v>
      </c>
    </row>
    <row r="54" spans="1:16" x14ac:dyDescent="0.25">
      <c r="A54" s="4">
        <v>6854</v>
      </c>
      <c r="B54" s="20">
        <v>52</v>
      </c>
      <c r="C54" s="56" t="s">
        <v>390</v>
      </c>
      <c r="D54" t="s">
        <v>17</v>
      </c>
      <c r="E54" t="s">
        <v>486</v>
      </c>
      <c r="F54" t="s">
        <v>487</v>
      </c>
      <c r="G54" t="s">
        <v>146</v>
      </c>
      <c r="H54">
        <v>4</v>
      </c>
      <c r="I54">
        <v>38</v>
      </c>
      <c r="J54">
        <v>55.56</v>
      </c>
      <c r="K54">
        <v>74</v>
      </c>
      <c r="L54">
        <v>8</v>
      </c>
      <c r="M54">
        <v>15.87</v>
      </c>
      <c r="N54" s="55">
        <f t="shared" si="5"/>
        <v>4.648766666666666</v>
      </c>
      <c r="O54" s="55">
        <f t="shared" si="6"/>
        <v>74.13774166666667</v>
      </c>
      <c r="P54" t="str">
        <f t="shared" si="2"/>
        <v>4°38′55.56″N 74°8′15.87″W</v>
      </c>
    </row>
    <row r="55" spans="1:16" x14ac:dyDescent="0.25">
      <c r="A55" s="4">
        <v>6898</v>
      </c>
      <c r="B55" s="20">
        <v>53</v>
      </c>
      <c r="C55" s="4" t="s">
        <v>391</v>
      </c>
      <c r="D55" t="s">
        <v>17</v>
      </c>
      <c r="E55" t="s">
        <v>519</v>
      </c>
      <c r="F55" t="s">
        <v>520</v>
      </c>
      <c r="G55" t="s">
        <v>146</v>
      </c>
      <c r="H55">
        <v>4</v>
      </c>
      <c r="I55">
        <v>37</v>
      </c>
      <c r="J55">
        <v>48.38</v>
      </c>
      <c r="K55">
        <v>74</v>
      </c>
      <c r="L55">
        <v>10</v>
      </c>
      <c r="M55">
        <v>7.8</v>
      </c>
      <c r="N55" s="55">
        <f t="shared" si="5"/>
        <v>4.6301055555555557</v>
      </c>
      <c r="O55" s="55">
        <f t="shared" si="6"/>
        <v>74.168833333333339</v>
      </c>
      <c r="P55" t="str">
        <f t="shared" si="2"/>
        <v>4°37′48.38″N 74°10′7.8″W</v>
      </c>
    </row>
    <row r="56" spans="1:16" x14ac:dyDescent="0.25">
      <c r="A56" s="4">
        <v>6931</v>
      </c>
      <c r="B56" s="20">
        <v>54</v>
      </c>
      <c r="C56" s="4" t="s">
        <v>391</v>
      </c>
      <c r="D56" t="s">
        <v>17</v>
      </c>
      <c r="E56" t="s">
        <v>528</v>
      </c>
      <c r="F56" t="s">
        <v>529</v>
      </c>
      <c r="G56" t="s">
        <v>146</v>
      </c>
      <c r="H56">
        <v>4</v>
      </c>
      <c r="I56">
        <v>35</v>
      </c>
      <c r="J56">
        <v>43.19</v>
      </c>
      <c r="K56">
        <v>74</v>
      </c>
      <c r="L56">
        <v>8</v>
      </c>
      <c r="M56">
        <v>45.35</v>
      </c>
      <c r="N56" s="55">
        <f t="shared" si="5"/>
        <v>4.595330555555555</v>
      </c>
      <c r="O56" s="55">
        <f t="shared" si="6"/>
        <v>74.145930555555566</v>
      </c>
      <c r="P56" t="str">
        <f t="shared" si="2"/>
        <v>4°35′43.19″N 74°8′45.35″W</v>
      </c>
    </row>
    <row r="57" spans="1:16" x14ac:dyDescent="0.25">
      <c r="A57" s="4">
        <v>6442</v>
      </c>
      <c r="B57" s="20">
        <v>55</v>
      </c>
      <c r="C57" s="4" t="s">
        <v>391</v>
      </c>
      <c r="D57" t="s">
        <v>1</v>
      </c>
      <c r="E57" t="s">
        <v>530</v>
      </c>
      <c r="F57" t="s">
        <v>531</v>
      </c>
      <c r="G57" t="s">
        <v>146</v>
      </c>
      <c r="H57">
        <v>4</v>
      </c>
      <c r="I57">
        <v>35</v>
      </c>
      <c r="J57">
        <v>41.06</v>
      </c>
      <c r="K57">
        <v>74</v>
      </c>
      <c r="L57">
        <v>9</v>
      </c>
      <c r="M57">
        <v>52.2</v>
      </c>
      <c r="N57" s="55">
        <f t="shared" si="5"/>
        <v>4.5947388888888883</v>
      </c>
      <c r="O57" s="55">
        <f t="shared" si="6"/>
        <v>74.164500000000004</v>
      </c>
      <c r="P57" t="str">
        <f t="shared" si="2"/>
        <v>4°35′41.06″N 74°9′52.2″W</v>
      </c>
    </row>
    <row r="58" spans="1:16" x14ac:dyDescent="0.25">
      <c r="A58" s="4">
        <v>6901</v>
      </c>
      <c r="B58" s="20">
        <v>56</v>
      </c>
      <c r="C58" s="4" t="s">
        <v>391</v>
      </c>
      <c r="D58" t="s">
        <v>1</v>
      </c>
      <c r="E58" t="s">
        <v>497</v>
      </c>
      <c r="F58" t="s">
        <v>498</v>
      </c>
      <c r="G58" t="s">
        <v>146</v>
      </c>
      <c r="H58">
        <v>4</v>
      </c>
      <c r="I58">
        <v>35</v>
      </c>
      <c r="J58">
        <v>49.97</v>
      </c>
      <c r="K58">
        <v>74</v>
      </c>
      <c r="L58">
        <v>9</v>
      </c>
      <c r="M58">
        <v>59.44</v>
      </c>
      <c r="N58" s="55">
        <f t="shared" si="5"/>
        <v>4.5972138888888887</v>
      </c>
      <c r="O58" s="55">
        <f t="shared" si="6"/>
        <v>74.16651111111112</v>
      </c>
      <c r="P58" t="str">
        <f t="shared" si="2"/>
        <v>4°35′49.97″N 74°9′59.44″W</v>
      </c>
    </row>
    <row r="59" spans="1:16" x14ac:dyDescent="0.25">
      <c r="A59" s="4">
        <v>6933</v>
      </c>
      <c r="B59" s="20">
        <v>57</v>
      </c>
      <c r="C59" s="4" t="s">
        <v>391</v>
      </c>
      <c r="D59" t="s">
        <v>17</v>
      </c>
      <c r="E59" t="s">
        <v>495</v>
      </c>
      <c r="F59" t="s">
        <v>496</v>
      </c>
      <c r="G59" t="s">
        <v>146</v>
      </c>
      <c r="H59">
        <v>4</v>
      </c>
      <c r="I59">
        <v>38</v>
      </c>
      <c r="J59">
        <v>43.91</v>
      </c>
      <c r="K59">
        <v>74</v>
      </c>
      <c r="L59">
        <v>7</v>
      </c>
      <c r="M59">
        <v>49.23</v>
      </c>
      <c r="N59" s="55">
        <f t="shared" si="5"/>
        <v>4.6455305555555553</v>
      </c>
      <c r="O59" s="55">
        <f t="shared" si="6"/>
        <v>74.130341666666666</v>
      </c>
      <c r="P59" t="str">
        <f t="shared" si="2"/>
        <v>4°38′43.91″N 74°7′49.23″W</v>
      </c>
    </row>
    <row r="60" spans="1:16" x14ac:dyDescent="0.25">
      <c r="A60" s="4">
        <v>6905</v>
      </c>
      <c r="B60" s="20">
        <v>58</v>
      </c>
      <c r="C60" s="4" t="s">
        <v>391</v>
      </c>
      <c r="D60" t="s">
        <v>17</v>
      </c>
      <c r="E60" t="s">
        <v>550</v>
      </c>
      <c r="F60" t="s">
        <v>551</v>
      </c>
      <c r="G60" t="s">
        <v>146</v>
      </c>
      <c r="H60">
        <v>4</v>
      </c>
      <c r="I60">
        <v>36</v>
      </c>
      <c r="J60">
        <v>59.48</v>
      </c>
      <c r="K60">
        <v>74</v>
      </c>
      <c r="L60">
        <v>9</v>
      </c>
      <c r="M60">
        <v>11.94</v>
      </c>
      <c r="N60" s="55">
        <f t="shared" si="5"/>
        <v>4.6165222222222217</v>
      </c>
      <c r="O60" s="55">
        <f t="shared" si="6"/>
        <v>74.153316666666669</v>
      </c>
      <c r="P60" t="str">
        <f t="shared" si="2"/>
        <v>4°36′59.48″N 74°9′11.94″W</v>
      </c>
    </row>
    <row r="61" spans="1:16" x14ac:dyDescent="0.25">
      <c r="A61" s="4">
        <v>6930</v>
      </c>
      <c r="B61" s="20">
        <v>59</v>
      </c>
      <c r="C61" s="4" t="s">
        <v>391</v>
      </c>
      <c r="D61" t="s">
        <v>8</v>
      </c>
      <c r="E61" t="s">
        <v>507</v>
      </c>
      <c r="F61" t="s">
        <v>508</v>
      </c>
      <c r="G61" t="s">
        <v>146</v>
      </c>
      <c r="H61">
        <v>4</v>
      </c>
      <c r="I61">
        <v>35</v>
      </c>
      <c r="J61">
        <v>38.840000000000003</v>
      </c>
      <c r="K61">
        <v>74</v>
      </c>
      <c r="L61">
        <v>4</v>
      </c>
      <c r="M61">
        <v>38.83</v>
      </c>
      <c r="N61" s="55">
        <f t="shared" si="5"/>
        <v>4.5941222222222216</v>
      </c>
      <c r="O61" s="55">
        <f t="shared" si="6"/>
        <v>74.077452777777779</v>
      </c>
      <c r="P61" t="str">
        <f t="shared" si="2"/>
        <v>4°35′38.84″N 74°4′38.83″W</v>
      </c>
    </row>
    <row r="62" spans="1:16" x14ac:dyDescent="0.25">
      <c r="A62" s="4">
        <v>6896</v>
      </c>
      <c r="B62" s="20">
        <v>60</v>
      </c>
      <c r="C62" s="4" t="s">
        <v>391</v>
      </c>
      <c r="D62" t="s">
        <v>2</v>
      </c>
      <c r="E62" t="s">
        <v>548</v>
      </c>
      <c r="F62" t="s">
        <v>549</v>
      </c>
      <c r="G62" t="s">
        <v>215</v>
      </c>
      <c r="H62">
        <v>4</v>
      </c>
      <c r="I62">
        <v>42</v>
      </c>
      <c r="J62">
        <v>41.2</v>
      </c>
      <c r="K62">
        <v>74</v>
      </c>
      <c r="L62">
        <v>6</v>
      </c>
      <c r="M62">
        <v>35.270000000000003</v>
      </c>
      <c r="N62" s="55">
        <f t="shared" si="5"/>
        <v>4.711444444444445</v>
      </c>
      <c r="O62" s="55">
        <f t="shared" si="6"/>
        <v>74.109797222222213</v>
      </c>
      <c r="P62" t="str">
        <f t="shared" si="2"/>
        <v>4°42′41.2″N 74°6′35.27″W</v>
      </c>
    </row>
    <row r="63" spans="1:16" x14ac:dyDescent="0.25">
      <c r="A63" s="4">
        <v>6978</v>
      </c>
      <c r="B63" s="20">
        <v>61</v>
      </c>
      <c r="C63" s="4" t="s">
        <v>391</v>
      </c>
      <c r="D63" t="s">
        <v>3</v>
      </c>
      <c r="E63" t="s">
        <v>465</v>
      </c>
      <c r="F63" t="s">
        <v>466</v>
      </c>
      <c r="G63" t="s">
        <v>215</v>
      </c>
      <c r="H63">
        <v>4</v>
      </c>
      <c r="I63">
        <v>41</v>
      </c>
      <c r="J63">
        <v>34.61</v>
      </c>
      <c r="K63">
        <v>74</v>
      </c>
      <c r="L63">
        <v>4</v>
      </c>
      <c r="M63">
        <v>3.68</v>
      </c>
      <c r="N63" s="55">
        <f t="shared" ref="N63:N90" si="7">H63+(I63/60)+(J63/3600)</f>
        <v>4.6929472222222222</v>
      </c>
      <c r="O63" s="55">
        <f t="shared" ref="O63:O90" si="8">K63+(L63/60)+(M63/3600)</f>
        <v>74.067688888888881</v>
      </c>
      <c r="P63" t="str">
        <f t="shared" si="2"/>
        <v>4°41′34.61″N 74°4′3.68″W</v>
      </c>
    </row>
    <row r="64" spans="1:16" x14ac:dyDescent="0.25">
      <c r="A64" s="4">
        <v>7099</v>
      </c>
      <c r="B64" s="20">
        <v>62</v>
      </c>
      <c r="C64" s="4" t="s">
        <v>390</v>
      </c>
      <c r="D64" t="s">
        <v>3</v>
      </c>
      <c r="E64" t="s">
        <v>469</v>
      </c>
      <c r="F64" t="s">
        <v>470</v>
      </c>
      <c r="G64" t="s">
        <v>215</v>
      </c>
      <c r="H64">
        <v>4</v>
      </c>
      <c r="I64">
        <v>45</v>
      </c>
      <c r="J64">
        <v>5.75</v>
      </c>
      <c r="K64">
        <v>74</v>
      </c>
      <c r="L64">
        <v>3</v>
      </c>
      <c r="M64">
        <v>56.08</v>
      </c>
      <c r="N64" s="55">
        <f t="shared" si="7"/>
        <v>4.7515972222222222</v>
      </c>
      <c r="O64" s="55">
        <f t="shared" si="8"/>
        <v>74.065577777777776</v>
      </c>
      <c r="P64" t="str">
        <f t="shared" si="2"/>
        <v>4°45′5.75″N 74°3′56.08″W</v>
      </c>
    </row>
    <row r="65" spans="1:16" x14ac:dyDescent="0.25">
      <c r="A65" s="4">
        <v>7082</v>
      </c>
      <c r="B65" s="20">
        <v>63</v>
      </c>
      <c r="C65" s="4" t="s">
        <v>390</v>
      </c>
      <c r="D65" t="s">
        <v>13</v>
      </c>
      <c r="E65" t="s">
        <v>473</v>
      </c>
      <c r="F65" t="s">
        <v>474</v>
      </c>
      <c r="G65" t="s">
        <v>215</v>
      </c>
      <c r="H65">
        <v>4</v>
      </c>
      <c r="I65">
        <v>38</v>
      </c>
      <c r="J65">
        <v>48.71</v>
      </c>
      <c r="K65">
        <v>74</v>
      </c>
      <c r="L65">
        <v>3</v>
      </c>
      <c r="M65">
        <v>21.14</v>
      </c>
      <c r="N65" s="55">
        <f t="shared" si="7"/>
        <v>4.6468638888888885</v>
      </c>
      <c r="O65" s="55">
        <f t="shared" si="8"/>
        <v>74.05587222222222</v>
      </c>
      <c r="P65" t="str">
        <f t="shared" si="2"/>
        <v>4°38′48.71″N 74°3′21.14″W</v>
      </c>
    </row>
    <row r="66" spans="1:16" x14ac:dyDescent="0.25">
      <c r="A66" s="4">
        <v>6886</v>
      </c>
      <c r="B66" s="20">
        <v>64</v>
      </c>
      <c r="C66" s="4" t="s">
        <v>391</v>
      </c>
      <c r="D66" t="s">
        <v>12</v>
      </c>
      <c r="E66" t="s">
        <v>475</v>
      </c>
      <c r="F66" t="s">
        <v>476</v>
      </c>
      <c r="G66" t="s">
        <v>215</v>
      </c>
      <c r="H66">
        <v>4</v>
      </c>
      <c r="I66">
        <v>42</v>
      </c>
      <c r="J66">
        <v>9.83</v>
      </c>
      <c r="K66">
        <v>74</v>
      </c>
      <c r="L66">
        <v>2</v>
      </c>
      <c r="M66">
        <v>26.95</v>
      </c>
      <c r="N66" s="55">
        <f t="shared" si="7"/>
        <v>4.7027305555555561</v>
      </c>
      <c r="O66" s="55">
        <f t="shared" si="8"/>
        <v>74.040819444444438</v>
      </c>
      <c r="P66" t="str">
        <f t="shared" si="2"/>
        <v>4°42′9.83″N 74°2′26.95″W</v>
      </c>
    </row>
    <row r="67" spans="1:16" x14ac:dyDescent="0.25">
      <c r="A67" s="4">
        <v>6841</v>
      </c>
      <c r="B67" s="20">
        <v>65</v>
      </c>
      <c r="C67" s="4" t="s">
        <v>390</v>
      </c>
      <c r="D67" t="s">
        <v>3</v>
      </c>
      <c r="E67" t="s">
        <v>478</v>
      </c>
      <c r="F67" t="s">
        <v>479</v>
      </c>
      <c r="G67" t="s">
        <v>215</v>
      </c>
      <c r="H67">
        <v>4</v>
      </c>
      <c r="I67">
        <v>44</v>
      </c>
      <c r="J67">
        <v>28.02</v>
      </c>
      <c r="K67">
        <v>74</v>
      </c>
      <c r="L67">
        <v>5</v>
      </c>
      <c r="M67">
        <v>23.99</v>
      </c>
      <c r="N67" s="55">
        <f t="shared" si="7"/>
        <v>4.7411166666666666</v>
      </c>
      <c r="O67" s="55">
        <f t="shared" si="8"/>
        <v>74.089997222222223</v>
      </c>
      <c r="P67" t="str">
        <f t="shared" si="2"/>
        <v>4°44′28.02″N 74°5′23.99″W</v>
      </c>
    </row>
    <row r="68" spans="1:16" x14ac:dyDescent="0.25">
      <c r="A68" s="4">
        <v>6907</v>
      </c>
      <c r="B68" s="20">
        <v>66</v>
      </c>
      <c r="C68" s="4" t="s">
        <v>391</v>
      </c>
      <c r="D68" t="s">
        <v>2</v>
      </c>
      <c r="E68" t="s">
        <v>480</v>
      </c>
      <c r="F68" t="s">
        <v>481</v>
      </c>
      <c r="G68" t="s">
        <v>215</v>
      </c>
      <c r="H68">
        <v>4</v>
      </c>
      <c r="I68">
        <v>41</v>
      </c>
      <c r="J68">
        <v>40.94</v>
      </c>
      <c r="K68">
        <v>74</v>
      </c>
      <c r="L68">
        <v>5</v>
      </c>
      <c r="M68">
        <v>10.27</v>
      </c>
      <c r="N68" s="55">
        <f t="shared" si="7"/>
        <v>4.6947055555555561</v>
      </c>
      <c r="O68" s="55">
        <f t="shared" si="8"/>
        <v>74.086186111111104</v>
      </c>
      <c r="P68" t="str">
        <f t="shared" ref="P68:P91" si="9">H68&amp;"°"&amp;I68&amp;"′"&amp;SUBSTITUTE(J68,",",".")&amp;"″"&amp;"N "&amp;K68&amp;"°"&amp;L68&amp;"′"&amp;SUBSTITUTE(M68,",",".")&amp;"″"&amp;"W"</f>
        <v>4°41′40.94″N 74°5′10.27″W</v>
      </c>
    </row>
    <row r="69" spans="1:16" x14ac:dyDescent="0.25">
      <c r="A69" s="4">
        <v>7081</v>
      </c>
      <c r="B69" s="20">
        <v>67</v>
      </c>
      <c r="C69" s="4" t="s">
        <v>390</v>
      </c>
      <c r="D69" t="s">
        <v>214</v>
      </c>
      <c r="E69" t="s">
        <v>482</v>
      </c>
      <c r="F69" t="s">
        <v>483</v>
      </c>
      <c r="G69" t="s">
        <v>215</v>
      </c>
      <c r="H69">
        <v>4</v>
      </c>
      <c r="I69">
        <v>41</v>
      </c>
      <c r="J69">
        <v>3.89</v>
      </c>
      <c r="K69">
        <v>74</v>
      </c>
      <c r="L69">
        <v>4</v>
      </c>
      <c r="M69">
        <v>3.56</v>
      </c>
      <c r="N69" s="55">
        <f t="shared" si="7"/>
        <v>4.6844138888888889</v>
      </c>
      <c r="O69" s="55">
        <f t="shared" si="8"/>
        <v>74.067655555555547</v>
      </c>
      <c r="P69" t="str">
        <f t="shared" si="9"/>
        <v>4°41′3.89″N 74°4′3.56″W</v>
      </c>
    </row>
    <row r="70" spans="1:16" x14ac:dyDescent="0.25">
      <c r="A70" s="4">
        <v>7028</v>
      </c>
      <c r="B70" s="20">
        <v>68</v>
      </c>
      <c r="C70" s="4" t="s">
        <v>391</v>
      </c>
      <c r="D70" t="s">
        <v>214</v>
      </c>
      <c r="E70" t="s">
        <v>488</v>
      </c>
      <c r="F70" t="s">
        <v>489</v>
      </c>
      <c r="G70" t="s">
        <v>215</v>
      </c>
      <c r="H70">
        <v>4</v>
      </c>
      <c r="I70">
        <v>41</v>
      </c>
      <c r="J70">
        <v>17.71</v>
      </c>
      <c r="K70">
        <v>74</v>
      </c>
      <c r="L70">
        <v>3</v>
      </c>
      <c r="M70">
        <v>51.88</v>
      </c>
      <c r="N70" s="55">
        <f t="shared" si="7"/>
        <v>4.6882527777777776</v>
      </c>
      <c r="O70" s="55">
        <f t="shared" si="8"/>
        <v>74.064411111111113</v>
      </c>
      <c r="P70" t="str">
        <f t="shared" si="9"/>
        <v>4°41′17.71″N 74°3′51.88″W</v>
      </c>
    </row>
    <row r="71" spans="1:16" x14ac:dyDescent="0.25">
      <c r="A71" s="4">
        <v>6908</v>
      </c>
      <c r="B71" s="20">
        <v>69</v>
      </c>
      <c r="C71" s="4" t="s">
        <v>391</v>
      </c>
      <c r="D71" t="s">
        <v>18</v>
      </c>
      <c r="E71" t="s">
        <v>492</v>
      </c>
      <c r="F71" t="s">
        <v>448</v>
      </c>
      <c r="G71" t="s">
        <v>215</v>
      </c>
      <c r="H71">
        <v>4</v>
      </c>
      <c r="I71">
        <v>38</v>
      </c>
      <c r="J71">
        <v>37.51</v>
      </c>
      <c r="K71">
        <v>74</v>
      </c>
      <c r="L71">
        <v>6</v>
      </c>
      <c r="M71">
        <v>46.98</v>
      </c>
      <c r="N71" s="55">
        <f t="shared" si="7"/>
        <v>4.6437527777777774</v>
      </c>
      <c r="O71" s="55">
        <f t="shared" si="8"/>
        <v>74.113050000000001</v>
      </c>
      <c r="P71" t="str">
        <f t="shared" si="9"/>
        <v>4°38′37.51″N 74°6′46.98″W</v>
      </c>
    </row>
    <row r="72" spans="1:16" x14ac:dyDescent="0.25">
      <c r="A72" s="4">
        <v>6840</v>
      </c>
      <c r="B72" s="20">
        <v>70</v>
      </c>
      <c r="C72" s="4" t="s">
        <v>390</v>
      </c>
      <c r="D72" t="s">
        <v>3</v>
      </c>
      <c r="E72" t="s">
        <v>493</v>
      </c>
      <c r="F72" t="s">
        <v>494</v>
      </c>
      <c r="G72" t="s">
        <v>215</v>
      </c>
      <c r="H72">
        <v>4</v>
      </c>
      <c r="I72">
        <v>41</v>
      </c>
      <c r="J72">
        <v>49.8</v>
      </c>
      <c r="K72">
        <v>74</v>
      </c>
      <c r="L72">
        <v>5</v>
      </c>
      <c r="M72">
        <v>4.1100000000000003</v>
      </c>
      <c r="N72" s="55">
        <f t="shared" si="7"/>
        <v>4.6971666666666669</v>
      </c>
      <c r="O72" s="55">
        <f t="shared" si="8"/>
        <v>74.084474999999998</v>
      </c>
      <c r="P72" t="str">
        <f t="shared" si="9"/>
        <v>4°41′49.8″N 74°5′4.11″W</v>
      </c>
    </row>
    <row r="73" spans="1:16" x14ac:dyDescent="0.25">
      <c r="A73" s="4">
        <v>6894</v>
      </c>
      <c r="B73" s="20">
        <v>71</v>
      </c>
      <c r="C73" s="4" t="s">
        <v>391</v>
      </c>
      <c r="D73" t="s">
        <v>3</v>
      </c>
      <c r="E73" t="s">
        <v>503</v>
      </c>
      <c r="F73" t="s">
        <v>504</v>
      </c>
      <c r="G73" t="s">
        <v>215</v>
      </c>
      <c r="H73">
        <v>4</v>
      </c>
      <c r="I73">
        <v>41</v>
      </c>
      <c r="J73">
        <v>26.5</v>
      </c>
      <c r="K73">
        <v>74</v>
      </c>
      <c r="L73">
        <v>3</v>
      </c>
      <c r="M73">
        <v>52.66</v>
      </c>
      <c r="N73" s="55">
        <f t="shared" si="7"/>
        <v>4.6906944444444445</v>
      </c>
      <c r="O73" s="55">
        <f t="shared" si="8"/>
        <v>74.064627777777773</v>
      </c>
      <c r="P73" t="str">
        <f t="shared" si="9"/>
        <v>4°41′26.5″N 74°3′52.66″W</v>
      </c>
    </row>
    <row r="74" spans="1:16" x14ac:dyDescent="0.25">
      <c r="A74" s="4">
        <v>7031</v>
      </c>
      <c r="B74" s="20">
        <v>72</v>
      </c>
      <c r="C74" s="4" t="s">
        <v>391</v>
      </c>
      <c r="D74" t="s">
        <v>5</v>
      </c>
      <c r="E74" t="s">
        <v>524</v>
      </c>
      <c r="F74" t="s">
        <v>525</v>
      </c>
      <c r="G74" t="s">
        <v>215</v>
      </c>
      <c r="H74">
        <v>4</v>
      </c>
      <c r="I74">
        <v>37</v>
      </c>
      <c r="J74">
        <v>29.8</v>
      </c>
      <c r="K74">
        <v>74</v>
      </c>
      <c r="L74">
        <v>4</v>
      </c>
      <c r="M74">
        <v>40.75</v>
      </c>
      <c r="N74" s="55">
        <f t="shared" si="7"/>
        <v>4.624944444444445</v>
      </c>
      <c r="O74" s="55">
        <f t="shared" si="8"/>
        <v>74.077986111111102</v>
      </c>
      <c r="P74" t="str">
        <f t="shared" si="9"/>
        <v>4°37′29.8″N 74°4′40.75″W</v>
      </c>
    </row>
    <row r="75" spans="1:16" x14ac:dyDescent="0.25">
      <c r="A75" s="4">
        <v>6906</v>
      </c>
      <c r="B75" s="20">
        <v>73</v>
      </c>
      <c r="C75" s="4" t="s">
        <v>391</v>
      </c>
      <c r="D75" t="s">
        <v>3</v>
      </c>
      <c r="E75" t="s">
        <v>532</v>
      </c>
      <c r="F75" t="s">
        <v>533</v>
      </c>
      <c r="G75" t="s">
        <v>215</v>
      </c>
      <c r="H75">
        <v>4</v>
      </c>
      <c r="I75">
        <v>44</v>
      </c>
      <c r="J75">
        <v>28.39</v>
      </c>
      <c r="K75">
        <v>74</v>
      </c>
      <c r="L75">
        <v>5</v>
      </c>
      <c r="M75">
        <v>6.32</v>
      </c>
      <c r="N75" s="55">
        <f t="shared" si="7"/>
        <v>4.7412194444444449</v>
      </c>
      <c r="O75" s="55">
        <f t="shared" si="8"/>
        <v>74.08508888888889</v>
      </c>
      <c r="P75" t="str">
        <f t="shared" si="9"/>
        <v>4°44′28.39″N 74°5′6.32″W</v>
      </c>
    </row>
    <row r="76" spans="1:16" x14ac:dyDescent="0.25">
      <c r="A76" s="4">
        <v>7098</v>
      </c>
      <c r="B76" s="20">
        <v>74</v>
      </c>
      <c r="C76" s="4" t="s">
        <v>390</v>
      </c>
      <c r="D76" s="57" t="s">
        <v>12</v>
      </c>
      <c r="E76" s="57"/>
      <c r="F76" s="57" t="s">
        <v>543</v>
      </c>
      <c r="G76" t="s">
        <v>215</v>
      </c>
      <c r="H76">
        <v>4</v>
      </c>
      <c r="I76">
        <v>45</v>
      </c>
      <c r="J76">
        <v>22.44</v>
      </c>
      <c r="K76">
        <v>74</v>
      </c>
      <c r="L76">
        <v>1</v>
      </c>
      <c r="M76">
        <v>31.33</v>
      </c>
      <c r="N76" s="55">
        <f t="shared" si="7"/>
        <v>4.7562333333333333</v>
      </c>
      <c r="O76" s="55">
        <f t="shared" si="8"/>
        <v>74.025369444444451</v>
      </c>
      <c r="P76" t="str">
        <f t="shared" si="9"/>
        <v>4°45′22.44″N 74°1′31.33″W</v>
      </c>
    </row>
    <row r="77" spans="1:16" x14ac:dyDescent="0.25">
      <c r="A77" s="4">
        <v>6893</v>
      </c>
      <c r="B77" s="20">
        <v>75</v>
      </c>
      <c r="C77" s="4" t="s">
        <v>391</v>
      </c>
      <c r="D77" s="57" t="s">
        <v>214</v>
      </c>
      <c r="E77" s="57"/>
      <c r="F77" s="57" t="s">
        <v>544</v>
      </c>
      <c r="G77" t="s">
        <v>215</v>
      </c>
      <c r="H77">
        <v>4</v>
      </c>
      <c r="I77">
        <v>39</v>
      </c>
      <c r="J77">
        <v>27.15</v>
      </c>
      <c r="K77">
        <v>74</v>
      </c>
      <c r="L77">
        <v>5</v>
      </c>
      <c r="M77">
        <v>5.8</v>
      </c>
      <c r="N77" s="55">
        <f t="shared" si="7"/>
        <v>4.6575416666666669</v>
      </c>
      <c r="O77" s="55">
        <f t="shared" si="8"/>
        <v>74.084944444444446</v>
      </c>
      <c r="P77" t="str">
        <f t="shared" si="9"/>
        <v>4°39′27.15″N 74°5′5.8″W</v>
      </c>
    </row>
    <row r="78" spans="1:16" x14ac:dyDescent="0.25">
      <c r="A78" s="4">
        <v>6969</v>
      </c>
      <c r="B78" s="20">
        <v>76</v>
      </c>
      <c r="C78" s="4" t="s">
        <v>390</v>
      </c>
      <c r="D78" s="57" t="s">
        <v>2</v>
      </c>
      <c r="E78" s="57" t="s">
        <v>554</v>
      </c>
      <c r="F78" s="57" t="s">
        <v>553</v>
      </c>
      <c r="G78" t="s">
        <v>215</v>
      </c>
      <c r="H78">
        <v>4</v>
      </c>
      <c r="I78">
        <v>42</v>
      </c>
      <c r="J78">
        <v>13.73</v>
      </c>
      <c r="K78">
        <v>74</v>
      </c>
      <c r="L78">
        <v>6</v>
      </c>
      <c r="M78">
        <v>6.32</v>
      </c>
      <c r="N78" s="55">
        <f t="shared" si="7"/>
        <v>4.703813888888889</v>
      </c>
      <c r="O78" s="55">
        <f t="shared" si="8"/>
        <v>74.101755555555556</v>
      </c>
      <c r="P78" t="str">
        <f t="shared" si="9"/>
        <v>4°42′13.73″N 74°6′6.32″W</v>
      </c>
    </row>
    <row r="79" spans="1:16" x14ac:dyDescent="0.25">
      <c r="A79" s="4">
        <v>6884</v>
      </c>
      <c r="B79" s="20">
        <v>77</v>
      </c>
      <c r="C79" s="4" t="s">
        <v>391</v>
      </c>
      <c r="D79" s="57" t="s">
        <v>18</v>
      </c>
      <c r="E79" s="57" t="s">
        <v>552</v>
      </c>
      <c r="F79" s="57" t="s">
        <v>545</v>
      </c>
      <c r="G79" t="s">
        <v>215</v>
      </c>
      <c r="H79">
        <v>4</v>
      </c>
      <c r="I79">
        <v>42</v>
      </c>
      <c r="J79">
        <v>15.97</v>
      </c>
      <c r="K79">
        <v>74</v>
      </c>
      <c r="L79">
        <v>8</v>
      </c>
      <c r="M79">
        <v>16.45</v>
      </c>
      <c r="N79" s="55">
        <f t="shared" si="7"/>
        <v>4.7044361111111117</v>
      </c>
      <c r="O79" s="55">
        <f t="shared" si="8"/>
        <v>74.137902777777782</v>
      </c>
      <c r="P79" t="str">
        <f t="shared" si="9"/>
        <v>4°42′15.97″N 74°8′16.45″W</v>
      </c>
    </row>
    <row r="80" spans="1:16" x14ac:dyDescent="0.25">
      <c r="A80" s="4">
        <v>6979</v>
      </c>
      <c r="B80" s="20">
        <v>78</v>
      </c>
      <c r="C80" s="4" t="s">
        <v>390</v>
      </c>
      <c r="D80" s="57" t="s">
        <v>5</v>
      </c>
      <c r="E80" s="57" t="s">
        <v>555</v>
      </c>
      <c r="F80" s="57" t="s">
        <v>556</v>
      </c>
      <c r="G80" t="s">
        <v>215</v>
      </c>
      <c r="H80">
        <v>4</v>
      </c>
      <c r="I80">
        <v>38</v>
      </c>
      <c r="J80">
        <v>21.91</v>
      </c>
      <c r="K80">
        <v>74</v>
      </c>
      <c r="L80">
        <v>4</v>
      </c>
      <c r="M80">
        <v>1.9</v>
      </c>
      <c r="N80" s="55">
        <f t="shared" si="7"/>
        <v>4.6394194444444441</v>
      </c>
      <c r="O80" s="55">
        <f t="shared" si="8"/>
        <v>74.067194444444439</v>
      </c>
      <c r="P80" t="str">
        <f t="shared" si="9"/>
        <v>4°38′21.91″N 74°4′1.9″W</v>
      </c>
    </row>
    <row r="81" spans="1:18" x14ac:dyDescent="0.25">
      <c r="A81" s="4">
        <v>7029</v>
      </c>
      <c r="B81" s="20">
        <v>79</v>
      </c>
      <c r="C81" s="4" t="s">
        <v>391</v>
      </c>
      <c r="D81" s="57" t="s">
        <v>2</v>
      </c>
      <c r="E81" s="57" t="s">
        <v>558</v>
      </c>
      <c r="F81" s="57" t="s">
        <v>557</v>
      </c>
      <c r="G81" t="s">
        <v>215</v>
      </c>
      <c r="H81">
        <v>4</v>
      </c>
      <c r="I81">
        <v>40</v>
      </c>
      <c r="J81">
        <v>59.63</v>
      </c>
      <c r="K81">
        <v>74</v>
      </c>
      <c r="L81">
        <v>5</v>
      </c>
      <c r="M81">
        <v>24.02</v>
      </c>
      <c r="N81" s="55">
        <f t="shared" si="7"/>
        <v>4.6832305555555562</v>
      </c>
      <c r="O81" s="55">
        <f t="shared" si="8"/>
        <v>74.09000555555555</v>
      </c>
      <c r="P81" t="str">
        <f t="shared" si="9"/>
        <v>4°40′59.63″N 74°5′24.02″W</v>
      </c>
      <c r="R81" s="57"/>
    </row>
    <row r="82" spans="1:18" s="57" customFormat="1" x14ac:dyDescent="0.25">
      <c r="A82" s="56">
        <v>6839</v>
      </c>
      <c r="B82" s="20">
        <v>80</v>
      </c>
      <c r="C82" s="56" t="s">
        <v>390</v>
      </c>
      <c r="D82" s="57" t="s">
        <v>13</v>
      </c>
      <c r="E82" s="57" t="s">
        <v>440</v>
      </c>
      <c r="F82" s="57" t="s">
        <v>441</v>
      </c>
      <c r="G82" s="57" t="s">
        <v>215</v>
      </c>
      <c r="H82" s="57">
        <v>4</v>
      </c>
      <c r="I82" s="57">
        <v>38</v>
      </c>
      <c r="J82" s="57">
        <v>41.03</v>
      </c>
      <c r="K82" s="57">
        <v>74</v>
      </c>
      <c r="L82" s="57">
        <v>3</v>
      </c>
      <c r="M82" s="57">
        <v>41.83</v>
      </c>
      <c r="N82" s="55">
        <f t="shared" si="7"/>
        <v>4.6447305555555554</v>
      </c>
      <c r="O82" s="55">
        <f t="shared" si="8"/>
        <v>74.061619444444446</v>
      </c>
      <c r="P82" t="str">
        <f t="shared" si="9"/>
        <v>4°38′41.03″N 74°3′41.83″W</v>
      </c>
    </row>
    <row r="83" spans="1:18" s="57" customFormat="1" x14ac:dyDescent="0.25">
      <c r="A83" s="56">
        <v>6885</v>
      </c>
      <c r="B83" s="20">
        <v>81</v>
      </c>
      <c r="C83" s="56" t="s">
        <v>391</v>
      </c>
      <c r="D83" s="57" t="s">
        <v>2</v>
      </c>
      <c r="E83" s="57" t="s">
        <v>444</v>
      </c>
      <c r="F83" s="57" t="s">
        <v>445</v>
      </c>
      <c r="G83" s="57" t="s">
        <v>215</v>
      </c>
      <c r="H83" s="57">
        <v>4</v>
      </c>
      <c r="I83" s="57">
        <v>40</v>
      </c>
      <c r="J83" s="57">
        <v>23.87</v>
      </c>
      <c r="K83" s="57">
        <v>74</v>
      </c>
      <c r="L83" s="57">
        <v>6</v>
      </c>
      <c r="M83" s="57">
        <v>18.95</v>
      </c>
      <c r="N83" s="55">
        <f t="shared" si="7"/>
        <v>4.6732972222222227</v>
      </c>
      <c r="O83" s="55">
        <f t="shared" si="8"/>
        <v>74.105263888888885</v>
      </c>
      <c r="P83" t="str">
        <f t="shared" si="9"/>
        <v>4°40′23.87″N 74°6′18.95″W</v>
      </c>
    </row>
    <row r="84" spans="1:18" s="57" customFormat="1" x14ac:dyDescent="0.25">
      <c r="A84" s="56">
        <v>6889</v>
      </c>
      <c r="B84" s="20">
        <v>82</v>
      </c>
      <c r="C84" s="56" t="s">
        <v>391</v>
      </c>
      <c r="D84" s="57" t="s">
        <v>12</v>
      </c>
      <c r="E84" s="57" t="s">
        <v>471</v>
      </c>
      <c r="F84" s="57" t="s">
        <v>472</v>
      </c>
      <c r="G84" s="57" t="s">
        <v>215</v>
      </c>
      <c r="H84" s="57">
        <v>4</v>
      </c>
      <c r="I84" s="57">
        <v>45</v>
      </c>
      <c r="J84" s="57">
        <v>16.420000000000002</v>
      </c>
      <c r="K84" s="57">
        <v>74</v>
      </c>
      <c r="L84" s="57">
        <v>2</v>
      </c>
      <c r="M84" s="57">
        <v>40.57</v>
      </c>
      <c r="N84" s="55">
        <f t="shared" si="7"/>
        <v>4.7545611111111112</v>
      </c>
      <c r="O84" s="55">
        <f t="shared" si="8"/>
        <v>74.044602777777783</v>
      </c>
      <c r="P84" t="str">
        <f t="shared" si="9"/>
        <v>4°45′16.42″N 74°2′40.57″W</v>
      </c>
    </row>
    <row r="85" spans="1:18" s="57" customFormat="1" x14ac:dyDescent="0.25">
      <c r="A85" s="56">
        <v>6888</v>
      </c>
      <c r="B85" s="20">
        <v>83</v>
      </c>
      <c r="C85" s="56" t="s">
        <v>391</v>
      </c>
      <c r="D85" s="57" t="s">
        <v>3</v>
      </c>
      <c r="E85" s="57" t="s">
        <v>484</v>
      </c>
      <c r="F85" s="57" t="s">
        <v>485</v>
      </c>
      <c r="G85" s="57" t="s">
        <v>215</v>
      </c>
      <c r="H85" s="57">
        <v>4</v>
      </c>
      <c r="I85" s="57">
        <v>45</v>
      </c>
      <c r="J85" s="57">
        <v>10.73</v>
      </c>
      <c r="K85" s="57">
        <v>74</v>
      </c>
      <c r="L85" s="57">
        <v>5</v>
      </c>
      <c r="M85" s="57">
        <v>36.78</v>
      </c>
      <c r="N85" s="55">
        <f t="shared" si="7"/>
        <v>4.7529805555555553</v>
      </c>
      <c r="O85" s="55">
        <f t="shared" si="8"/>
        <v>74.093549999999993</v>
      </c>
      <c r="P85" t="str">
        <f t="shared" si="9"/>
        <v>4°45′10.73″N 74°5′36.78″W</v>
      </c>
    </row>
    <row r="86" spans="1:18" s="57" customFormat="1" x14ac:dyDescent="0.25">
      <c r="A86" s="56">
        <v>6972</v>
      </c>
      <c r="B86" s="20">
        <v>84</v>
      </c>
      <c r="C86" s="56" t="s">
        <v>390</v>
      </c>
      <c r="D86" s="57" t="s">
        <v>3</v>
      </c>
      <c r="E86" s="57" t="s">
        <v>536</v>
      </c>
      <c r="F86" s="57" t="s">
        <v>537</v>
      </c>
      <c r="G86" s="57" t="s">
        <v>215</v>
      </c>
      <c r="H86" s="57">
        <v>4</v>
      </c>
      <c r="I86" s="57">
        <v>43</v>
      </c>
      <c r="J86" s="57">
        <v>37.28</v>
      </c>
      <c r="K86" s="57">
        <v>74</v>
      </c>
      <c r="L86" s="57">
        <v>3</v>
      </c>
      <c r="M86" s="57">
        <v>37.82</v>
      </c>
      <c r="N86" s="55">
        <f t="shared" si="7"/>
        <v>4.7270222222222227</v>
      </c>
      <c r="O86" s="55">
        <f t="shared" si="8"/>
        <v>74.060505555555551</v>
      </c>
      <c r="P86" t="str">
        <f t="shared" si="9"/>
        <v>4°43′37.28″N 74°3′37.82″W</v>
      </c>
    </row>
    <row r="87" spans="1:18" s="57" customFormat="1" x14ac:dyDescent="0.25">
      <c r="A87" s="56">
        <v>6887</v>
      </c>
      <c r="B87" s="20">
        <v>85</v>
      </c>
      <c r="C87" s="56" t="s">
        <v>391</v>
      </c>
      <c r="D87" t="s">
        <v>13</v>
      </c>
      <c r="E87" s="57" t="s">
        <v>490</v>
      </c>
      <c r="F87" s="57" t="s">
        <v>491</v>
      </c>
      <c r="G87" s="57" t="s">
        <v>215</v>
      </c>
      <c r="H87" s="57">
        <v>4</v>
      </c>
      <c r="I87" s="57">
        <v>39</v>
      </c>
      <c r="J87" s="57">
        <v>59.83</v>
      </c>
      <c r="K87" s="57">
        <v>74</v>
      </c>
      <c r="L87" s="57">
        <v>3</v>
      </c>
      <c r="M87" s="57">
        <v>36.299999999999997</v>
      </c>
      <c r="N87" s="55">
        <f t="shared" si="7"/>
        <v>4.6666194444444447</v>
      </c>
      <c r="O87" s="55">
        <f t="shared" si="8"/>
        <v>74.060083333333324</v>
      </c>
      <c r="P87" t="str">
        <f t="shared" si="9"/>
        <v>4°39′59.83″N 74°3′36.3″W</v>
      </c>
    </row>
    <row r="88" spans="1:18" s="57" customFormat="1" x14ac:dyDescent="0.25">
      <c r="A88" s="56">
        <v>7027</v>
      </c>
      <c r="B88" s="20">
        <v>86</v>
      </c>
      <c r="C88" s="56" t="s">
        <v>391</v>
      </c>
      <c r="D88" t="s">
        <v>5</v>
      </c>
      <c r="E88" s="57" t="s">
        <v>505</v>
      </c>
      <c r="F88" s="57" t="s">
        <v>506</v>
      </c>
      <c r="G88" s="57" t="s">
        <v>215</v>
      </c>
      <c r="H88" s="57">
        <v>4</v>
      </c>
      <c r="I88" s="57">
        <v>38</v>
      </c>
      <c r="J88" s="57">
        <v>29.44</v>
      </c>
      <c r="K88" s="57">
        <v>74</v>
      </c>
      <c r="L88" s="57">
        <v>5</v>
      </c>
      <c r="M88" s="57">
        <v>41.87</v>
      </c>
      <c r="N88" s="55">
        <f t="shared" si="7"/>
        <v>4.6415111111111109</v>
      </c>
      <c r="O88" s="55">
        <f t="shared" si="8"/>
        <v>74.094963888888884</v>
      </c>
      <c r="P88" t="str">
        <f t="shared" si="9"/>
        <v>4°38′29.44″N 74°5′41.87″W</v>
      </c>
    </row>
    <row r="89" spans="1:18" s="57" customFormat="1" x14ac:dyDescent="0.25">
      <c r="A89" s="56">
        <v>6891</v>
      </c>
      <c r="B89" s="20">
        <v>87</v>
      </c>
      <c r="C89" s="56" t="s">
        <v>391</v>
      </c>
      <c r="D89" t="s">
        <v>2</v>
      </c>
      <c r="E89" s="57" t="s">
        <v>515</v>
      </c>
      <c r="F89" s="57" t="s">
        <v>516</v>
      </c>
      <c r="G89" s="57" t="s">
        <v>215</v>
      </c>
      <c r="H89" s="57">
        <v>4</v>
      </c>
      <c r="I89" s="57">
        <v>40</v>
      </c>
      <c r="J89" s="57">
        <v>29.3</v>
      </c>
      <c r="K89" s="57">
        <v>74</v>
      </c>
      <c r="L89" s="57">
        <v>6</v>
      </c>
      <c r="M89" s="57">
        <v>48.58</v>
      </c>
      <c r="N89" s="55">
        <f t="shared" si="7"/>
        <v>4.6748055555555554</v>
      </c>
      <c r="O89" s="55">
        <f t="shared" si="8"/>
        <v>74.113494444444441</v>
      </c>
      <c r="P89" t="str">
        <f t="shared" si="9"/>
        <v>4°40′29.3″N 74°6′48.58″W</v>
      </c>
    </row>
    <row r="90" spans="1:18" s="57" customFormat="1" x14ac:dyDescent="0.25">
      <c r="A90" s="56" t="s">
        <v>521</v>
      </c>
      <c r="B90" s="20">
        <v>88</v>
      </c>
      <c r="C90" s="56" t="s">
        <v>546</v>
      </c>
      <c r="D90" t="s">
        <v>2</v>
      </c>
      <c r="E90" s="57" t="s">
        <v>547</v>
      </c>
      <c r="F90" t="s">
        <v>549</v>
      </c>
      <c r="G90" s="57" t="s">
        <v>215</v>
      </c>
      <c r="H90">
        <v>4</v>
      </c>
      <c r="I90">
        <v>42</v>
      </c>
      <c r="J90">
        <v>41.2</v>
      </c>
      <c r="K90">
        <v>74</v>
      </c>
      <c r="L90">
        <v>6</v>
      </c>
      <c r="M90">
        <v>35.270000000000003</v>
      </c>
      <c r="N90" s="55">
        <f t="shared" si="7"/>
        <v>4.711444444444445</v>
      </c>
      <c r="O90" s="55">
        <f t="shared" si="8"/>
        <v>74.109797222222213</v>
      </c>
      <c r="P90" t="str">
        <f t="shared" si="9"/>
        <v>4°42′41.2″N 74°6′35.27″W</v>
      </c>
      <c r="R90"/>
    </row>
    <row r="91" spans="1:18" x14ac:dyDescent="0.25">
      <c r="A91" s="4">
        <v>7030</v>
      </c>
      <c r="B91" s="20">
        <v>89</v>
      </c>
      <c r="C91" s="56" t="s">
        <v>391</v>
      </c>
      <c r="D91" t="s">
        <v>2</v>
      </c>
      <c r="E91" t="s">
        <v>559</v>
      </c>
      <c r="F91" t="s">
        <v>477</v>
      </c>
      <c r="G91" s="57" t="s">
        <v>215</v>
      </c>
      <c r="H91">
        <v>4</v>
      </c>
      <c r="I91">
        <v>42</v>
      </c>
      <c r="J91">
        <v>17.64</v>
      </c>
      <c r="K91">
        <v>74</v>
      </c>
      <c r="L91">
        <v>6</v>
      </c>
      <c r="M91">
        <v>21.05</v>
      </c>
      <c r="N91" s="55">
        <f t="shared" ref="N91" si="10">H91+(I91/60)+(J91/3600)</f>
        <v>4.7049000000000003</v>
      </c>
      <c r="O91" s="55">
        <f t="shared" ref="O91" si="11">K91+(L91/60)+(M91/3600)</f>
        <v>74.105847222222224</v>
      </c>
      <c r="P91" t="str">
        <f t="shared" si="9"/>
        <v>4°42′17.64″N 74°6′21.05″W</v>
      </c>
    </row>
    <row r="106" spans="1:1" x14ac:dyDescent="0.25">
      <c r="A106" s="56"/>
    </row>
  </sheetData>
  <mergeCells count="10">
    <mergeCell ref="P1:P2"/>
    <mergeCell ref="K1:M1"/>
    <mergeCell ref="E1:E2"/>
    <mergeCell ref="A1:A2"/>
    <mergeCell ref="B1:B2"/>
    <mergeCell ref="C1:C2"/>
    <mergeCell ref="D1:D2"/>
    <mergeCell ref="F1:F2"/>
    <mergeCell ref="G1:G2"/>
    <mergeCell ref="H1:J1"/>
  </mergeCells>
  <conditionalFormatting sqref="A1:A1048576">
    <cfRule type="duplicateValues" dxfId="0" priority="2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LOCALIDADES</vt:lpstr>
      <vt:lpstr>TIPO_INCIDENTE</vt:lpstr>
      <vt:lpstr>HospitalesXSubredes</vt:lpstr>
      <vt:lpstr>CentroGravedad1</vt:lpstr>
      <vt:lpstr>CentroGravedad2</vt:lpstr>
      <vt:lpstr>UbicacionReal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Rodriguez Manrique</dc:creator>
  <cp:lastModifiedBy>Sergio Rodriguez Manrique</cp:lastModifiedBy>
  <dcterms:created xsi:type="dcterms:W3CDTF">2026-04-18T22:55:03Z</dcterms:created>
  <dcterms:modified xsi:type="dcterms:W3CDTF">2026-05-17T08:03:33Z</dcterms:modified>
</cp:coreProperties>
</file>